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iz" sheetId="1" r:id="rId5"/>
    <sheet state="visible" name="Film" sheetId="2" r:id="rId6"/>
    <sheet state="visible" name="Dizi" sheetId="3" r:id="rId7"/>
    <sheet state="visible" name="Anime" sheetId="4" r:id="rId8"/>
    <sheet state="visible" name="Kitap" sheetId="5" r:id="rId9"/>
    <sheet state="visible" name="Oyun" sheetId="6" r:id="rId10"/>
    <sheet state="visible" name="Manga" sheetId="7" r:id="rId11"/>
    <sheet state="visible" name="Eski" sheetId="8" r:id="rId12"/>
  </sheets>
  <definedNames/>
  <calcPr/>
</workbook>
</file>

<file path=xl/sharedStrings.xml><?xml version="1.0" encoding="utf-8"?>
<sst xmlns="http://schemas.openxmlformats.org/spreadsheetml/2006/main" count="854" uniqueCount="363">
  <si>
    <t>TARİH</t>
  </si>
  <si>
    <t>FİLM ADI</t>
  </si>
  <si>
    <t>PUAN</t>
  </si>
  <si>
    <t>MEKAN</t>
  </si>
  <si>
    <t>KİŞİ</t>
  </si>
  <si>
    <t>DİL</t>
  </si>
  <si>
    <t>ANİME ADI</t>
  </si>
  <si>
    <t>📊  İZLEME LİSTESİ ANALİZİ</t>
  </si>
  <si>
    <t>SEZON/BÖLÜM</t>
  </si>
  <si>
    <t>NOT</t>
  </si>
  <si>
    <t>TOPLAM:</t>
  </si>
  <si>
    <t>DİZİ ADI</t>
  </si>
  <si>
    <t>GENEL ÖZET</t>
  </si>
  <si>
    <t>🎬 Film</t>
  </si>
  <si>
    <t>📺 Dizi</t>
  </si>
  <si>
    <t>⚡ Anime</t>
  </si>
  <si>
    <t>🎮 Oyun</t>
  </si>
  <si>
    <t>📚 Kitap</t>
  </si>
  <si>
    <t>📖 Manga</t>
  </si>
  <si>
    <t>📜 Eski</t>
  </si>
  <si>
    <t>How I Met Your Mother</t>
  </si>
  <si>
    <t>Pirates of the Caribbean: The Curse of the Black Pearl</t>
  </si>
  <si>
    <t>8. Sezon</t>
  </si>
  <si>
    <t>Demon Slayer</t>
  </si>
  <si>
    <t>1. Sezon</t>
  </si>
  <si>
    <t>Ev</t>
  </si>
  <si>
    <t>Tek kişi</t>
  </si>
  <si>
    <t>Altyazı</t>
  </si>
  <si>
    <t>ORT. PUAN:</t>
  </si>
  <si>
    <t>Overall</t>
  </si>
  <si>
    <t>Pirates of the Caribbean: Dead Man's Chest</t>
  </si>
  <si>
    <t>—</t>
  </si>
  <si>
    <t>ort. puan</t>
  </si>
  <si>
    <t>İnvincible</t>
  </si>
  <si>
    <t>3. Sezon</t>
  </si>
  <si>
    <t>Lost</t>
  </si>
  <si>
    <t>Pirates of the Caribbean: At World's End</t>
  </si>
  <si>
    <t>2. Sezon</t>
  </si>
  <si>
    <t>Shaun of the Dead</t>
  </si>
  <si>
    <t>The Maze Runner</t>
  </si>
  <si>
    <t>Vis a Vis</t>
  </si>
  <si>
    <t>Squid Game</t>
  </si>
  <si>
    <t>Maze Runner: The Scorch Trials</t>
  </si>
  <si>
    <t>Horrible Bosses</t>
  </si>
  <si>
    <t>Sopranos</t>
  </si>
  <si>
    <t>Babamla</t>
  </si>
  <si>
    <t>Dublaj</t>
  </si>
  <si>
    <t>The Gorge</t>
  </si>
  <si>
    <t>Game of Thrones</t>
  </si>
  <si>
    <t>4. Sezon</t>
  </si>
  <si>
    <t>🎬  TOP 5 — FİLM</t>
  </si>
  <si>
    <t>5. Sezon</t>
  </si>
  <si>
    <t>6. Sezon</t>
  </si>
  <si>
    <t>⚡  TOP 5 — ANİME</t>
  </si>
  <si>
    <t>Alice in Borderland</t>
  </si>
  <si>
    <t>🥇</t>
  </si>
  <si>
    <t>Rick And Morty</t>
  </si>
  <si>
    <t>A Silent Voice</t>
  </si>
  <si>
    <t>Film</t>
  </si>
  <si>
    <t>Tag</t>
  </si>
  <si>
    <t>Your Name</t>
  </si>
  <si>
    <t>World War Z</t>
  </si>
  <si>
    <t>Dandadan</t>
  </si>
  <si>
    <t>21</t>
  </si>
  <si>
    <t>Solo Leveling</t>
  </si>
  <si>
    <t>7. Sezon</t>
  </si>
  <si>
    <t>Intouchables</t>
  </si>
  <si>
    <t>Komi Can't Communicate</t>
  </si>
  <si>
    <t>Catch Me If You Can</t>
  </si>
  <si>
    <t>Pluribus</t>
  </si>
  <si>
    <t>The Shining</t>
  </si>
  <si>
    <t>Game Of Thrones</t>
  </si>
  <si>
    <t>DC (Utku,Emre)</t>
  </si>
  <si>
    <t>My Dress Up Darling</t>
  </si>
  <si>
    <t>Love Is War</t>
  </si>
  <si>
    <t>Ford v Ferrari</t>
  </si>
  <si>
    <t>How To Train Your Dragon 1</t>
  </si>
  <si>
    <t>Dexter</t>
  </si>
  <si>
    <t>How To Train Your Dragon 2</t>
  </si>
  <si>
    <t>F1</t>
  </si>
  <si>
    <t>Sinema</t>
  </si>
  <si>
    <t>Love is War First Kiss</t>
  </si>
  <si>
    <t>Kerem ve Mehmet</t>
  </si>
  <si>
    <t>How To Train Your Dragon 3</t>
  </si>
  <si>
    <t>Code Geass</t>
  </si>
  <si>
    <t>Inside Out 2</t>
  </si>
  <si>
    <t>Love Is War Special</t>
  </si>
  <si>
    <t>2 Bölüm</t>
  </si>
  <si>
    <t>Regular Show</t>
  </si>
  <si>
    <t>Se7en</t>
  </si>
  <si>
    <t>Spy x Family</t>
  </si>
  <si>
    <t>Palm Springs</t>
  </si>
  <si>
    <t>The Dark Knight (Rewatch)</t>
  </si>
  <si>
    <t>Ömer</t>
  </si>
  <si>
    <t>Spy x Family Code: White</t>
  </si>
  <si>
    <t>Ballerina</t>
  </si>
  <si>
    <t>Sefa</t>
  </si>
  <si>
    <t>I Am Legend (Rewatch)</t>
  </si>
  <si>
    <t>Passengers</t>
  </si>
  <si>
    <t>Frieren</t>
  </si>
  <si>
    <t>Big Hero 6</t>
  </si>
  <si>
    <t>?.02.2026</t>
  </si>
  <si>
    <t>The Mist</t>
  </si>
  <si>
    <t>Sihirbazlar Çetesi 3</t>
  </si>
  <si>
    <t>Greenland</t>
  </si>
  <si>
    <t>Free Guy</t>
  </si>
  <si>
    <t>Kono Subarashii Sekai ni Shukufuku wo!</t>
  </si>
  <si>
    <t>Cast Away</t>
  </si>
  <si>
    <t>Tek Kişi</t>
  </si>
  <si>
    <t>Phone Booth</t>
  </si>
  <si>
    <t>Konosuba</t>
  </si>
  <si>
    <t>90 dakikada hem gizem hem aksiyonu birbiriyle harmanlıyor üzerine karakterden mesaj veriliyor soluksuz izlenebilecek bir film oyunculuk çok iyi konusu çok ilginç</t>
  </si>
  <si>
    <t>Project Hail Mary</t>
  </si>
  <si>
    <t>Sinematografi çok güzel sahneler göz alıcı bilim göndemelerini yakalamak aşırı zevkli uzun soluklu bazı sahneler hafif mantıksız ama izlemesi zevkli</t>
  </si>
  <si>
    <t>Project X (Rewatch)</t>
  </si>
  <si>
    <t>DC (Enes,Utku,Turap)</t>
  </si>
  <si>
    <t>Genç hayali izlemesi aşırı zevkli imdb puanının biraz daha üstünü hak ediyor sahneler çok iyi parti havasını çok iyi yansıtmış tam bir genç filmi</t>
  </si>
  <si>
    <t>Prisoners</t>
  </si>
  <si>
    <t>DC (Enes,Utku)</t>
  </si>
  <si>
    <t>Sinematografi aktörlük oyuncular sahneler atmosfer çok iyi fakat sonu bana çok düz geldi bir twist bekliyordum ve ipucular izleyicinin çok fazla gözüne sokulmuş izlerken kendin tahmin ediyosun fakat film tahmin ettikten sonra direk kendini açık ediyor</t>
  </si>
  <si>
    <t>Benson'ın ciddiyetini ve saygısını bitiren sezondu.</t>
  </si>
  <si>
    <t>Shutter Island</t>
  </si>
  <si>
    <t>Film boyunca her yer detay doluydu özellikle filmin bitişindeki o meşhur cümle çok iyiydi,özellikle ligthouse sahnesinde seyirciyi ana karakter ile birleştiriyor seyircide ana karakter gibi olanlara inanmak istemiyor önüne sunulan bütün kanıtları görmezden gelmek istiyor masterpiece</t>
  </si>
  <si>
    <t>Edge Of Tomorrow</t>
  </si>
  <si>
    <t>🥈</t>
  </si>
  <si>
    <t>Sezonun bazı ilk bölümleri biraz sıkıcı olsada hikaye ile alakalı olan bölümler mükemmeldi. Sonuda güzel işlenmişti üzdü baya.</t>
  </si>
  <si>
    <t>Konusu klasik aksiyon filmlerinden onu ayırmış sonlara doğru hafif sıkıldım fakat bu benim saf aksiyon filmlerinden uzaklaşmamdan dolayı</t>
  </si>
  <si>
    <t>Take Shelter</t>
  </si>
  <si>
    <t>Biraz yavaş ilerliyor fakat adamın iç dünyası çok iyi verilmiş izlemesi hafif sıkıcı fakat yinede güzel</t>
  </si>
  <si>
    <t>The Road</t>
  </si>
  <si>
    <t>Mükemmel bir dizi, tam bir gençlik rüyası dizisi, izlediğim en iyi çizgifilm.</t>
  </si>
  <si>
    <t>Atmosferi çok iyi verilmiş ortamın ciddiyetini hissediliyor sinematografi iyi fakat sonu filmin ciddiyetine hiç yakışmamış</t>
  </si>
  <si>
    <t>Regular Show The Movie</t>
  </si>
  <si>
    <t>Shutter Island (Rewatch)</t>
  </si>
  <si>
    <t>DC (Enes,Mehmet)</t>
  </si>
  <si>
    <t>Başlangıcı yavaş, sonu hızlıydı ancak serinin tek filmi olmasına rağmen klasik regular show havasını yakalayabilmiş gayet yeterli bir film.</t>
  </si>
  <si>
    <t>Her detay her ayrıntı düşünülmüş hiç bir sahne gereksiz değil yeniden izleyince ortaya çıkan detaylar filmi mükemmelleştiriyor</t>
  </si>
  <si>
    <t>Die Hard</t>
  </si>
  <si>
    <t>Kono Subarashii Sekai ni Bakuen wo!</t>
  </si>
  <si>
    <t>Ana dizi gibi rastgele değil bir olay akışı var, sıkmadan 3 günde izlenecek komik anime.</t>
  </si>
  <si>
    <t>Çıkış senesine göre çok iyi eski filmlere karşı olan ön yargımı kırdı sonu biraz ciddiyetsiz fakat filme yakışmış</t>
  </si>
  <si>
    <t>Sicario</t>
  </si>
  <si>
    <t>DC (Enes, Utku)</t>
  </si>
  <si>
    <t>Açık ara en çok beğendiğim sezon oldu bunun sebebi ufakta olsa 3 bölümlük gibi olay örgülerinin olması önceki sezonlarda bu tek bölümlüktü animeyi ciddiye alamamama sitcom gibi izlememe neden oluyordu ayrıca bu sezon ana karakter etkileşimlerini daha çok beğendim ve önceli sezonlardan daha komikti.</t>
  </si>
  <si>
    <t>Verilmek istenen mesajlar çok klişe ve izleyicinin gözüne sokulmuş gereksiz uzatılmış izlemesi sıkıcı</t>
  </si>
  <si>
    <t>Code Geass (Rewatch)</t>
  </si>
  <si>
    <t>Bu türü seven herkesin kesinlikle izlemesi gereken bir masterpiece,ilk izleyişim değildi ve animeyi birazcık unutmuş olmama rağmen neredeyse tüm önemli anları biliyordum ancak bunları bilmem bile bir an bile sıkılmadan diziyi bana izlettirdi. Bazı yerlerde tezatlıklar ve sembolizmler yapılmış bunlar diziye ayrı bir detay katıyor ve mükemmelleştiriyor. Karakterler çok iyi yazılmış. Ancak animasyon eskiliği ve stili ayrıca plotun karışıklığı normal izleyiciye fazla gelebilir ve sıkılabilir. Benim için bir masterpiece bu türde izlediğim en iyi yapım olabilir.</t>
  </si>
  <si>
    <t>The Thing</t>
  </si>
  <si>
    <t>Canavarlar bugün bakınca absürt duruyor fakat yılına göre aşırı iyi CGI'sız yapılmış olması çok etkliyici senesinde izlesem çok daha fazla verirdim gizem ve gerilimi güzel izlemesi zevkli</t>
  </si>
  <si>
    <t>Monsters Inc</t>
  </si>
  <si>
    <t>Çıkış yılına göre CGI aşırı iyi bazı sahneler komik izlerken sıkmadı</t>
  </si>
  <si>
    <t>Speed</t>
  </si>
  <si>
    <t>Klasik amerikan aksiyon filmlerinden biraz kendini ayırabilmiş mutlu sonla biteceği belliydi fakat bu tarz filmlerden farklı olarak çoğu sahnesi tahmin edilemezdi sonlara doğru sıkıldım ne zaman bitecek moduna girdim muhtemelen saf aksiyon filmleri artık bana gelmiyor</t>
  </si>
  <si>
    <t>A Quiet Place</t>
  </si>
  <si>
    <t>Dc (Enes,Emre)</t>
  </si>
  <si>
    <t>Nerede ne olacağı biraz belli gibiydi bundan dolayı fazla gerilmedim, hafif bazı mantıksızlıklar vardı ama başta çocuğun ölüşü ve diğer bazı sahneler güzel verilmişti ne aşırı korkunç ne aşırı gerici ama izlemesi keyifliydi</t>
  </si>
  <si>
    <t>Memento</t>
  </si>
  <si>
    <t>Dc (Enes)</t>
  </si>
  <si>
    <t>Konusu, olay akışı diğer filmlere nazaran çok farklıydı ancak filmin tek olayı buydu diyemem, sonu shutter islanda benziyordu, oyunculuk çok iyi, sinematografi gayet yeterli, zihin yoran ancak zihin yorması ve anlamaya çalışması teoriler kurması zevkli olan bir filmdi</t>
  </si>
  <si>
    <t>Up</t>
  </si>
  <si>
    <t>🥉</t>
  </si>
  <si>
    <t>Animasyon çok tatlı, vermek istediği duyguyu yaşatıyor , animasyon olmasına rağmen hitap ettiği izleyici kitlesi geniş, hikaye güzel, müzikler çok iyi oturmuş adeta seyirciyi üzülmeye manipüle ediyor güzel film ayrıca dublaj aşırı iyi</t>
  </si>
  <si>
    <t>Ocean's Eleven</t>
  </si>
  <si>
    <t>Diyaloglar çok iyi yazılmış, komik. Klasik Hollywood filmi mantıksızlıkları olsa da görmezden gelinebiliyor. Oyuncu kadrosu çok iyi, başlaması biraz uzun sürüyor fakat filmin temposu başladıktan sonra düşmüyor. Standart Hollywood filmlerinin 7.7 versiyonu.</t>
  </si>
  <si>
    <t>Wall -E</t>
  </si>
  <si>
    <t>Klasik eski pixar filmi kalitesi, karakterler diyalog olmamasına rağmen çok iyi aktarılmış ancak diğer animasyonlardada olan filmin ana duygusu aşkın aktarılışı türün diğer örneklerine kıyasla yetersiz geldi filmi izlerken birşeyler eksik gibi hissettim fakat genel olarak gayet yeterliydi.</t>
  </si>
  <si>
    <t>Snowpiercer</t>
  </si>
  <si>
    <t>Tren distopyası atmosferi ciddi ve filme uyumlu verilmiş fakat filmin ilk 1 saatindeki dövüş sahneleri aynı ciddilikte değil sanki seyirici eğlendirmek için yapılmış, filmde ne olacağı tahmin edilemiyor fakat film aşırı uzatılmış sonlara doğru tempo çok düşüyor ve sıkılıyorsun ancak konusu ve atmosferiyle ortalama bir film.</t>
  </si>
  <si>
    <t>Hangover</t>
  </si>
  <si>
    <t>Enes, Turap</t>
  </si>
  <si>
    <t>Arkadaşlarla izlemelik, mantıksızlık dolu ancak böyle olması gereken bir film, ilk izlediğimde aldığım tatmin ile bunun arasında aşırı fazla fark vardı, eğlenceli ve güldüren türünde güzel kült bir film.</t>
  </si>
  <si>
    <t>30.06 2026</t>
  </si>
  <si>
    <t>Gravity</t>
  </si>
  <si>
    <t>Uzay temasını ele alan filmler arasında uzay atmosferi gerçekçiliğini en iyi veren film, filmin sesleri mükemmel uzay boşluğundaki hiçlik hissediliyor, tüm bilimsel detaylar düşünülmüş gibi (mesafeler hariç) , tek negatif yorumum gerilim sahnelerinin güzel fakat sonunda ne olacağı belli olduğundan dolayı filmin temposunu biraz düşürmesi ayrıca bu kadar gerçekçilik kasılmış bir filmde kötü son beklerdim fakat gidişattan böyle bir son olmayacağı belliydi.</t>
  </si>
  <si>
    <t>Due Date</t>
  </si>
  <si>
    <t>hangoverdan biraz daha eğlenceliydi,normalde filmlere çok gülmem fakat bu filme çok güldüm, çerezlik boş kafayla izlemelik bir filmdi.</t>
  </si>
  <si>
    <t>Obsession</t>
  </si>
  <si>
    <t>İzlediğim korku filmleri arasından gerçekten rahatsız edici kategorisine sokabileceğim nadir filmlerden birisi. Filmin ilk yarısında tempo biraz yavaş, ikinci yarıda tempo hızlanıyor ancak ilk yarıdaki yavaş temponun yerini hikaye ilginçiliği ve merak kapatıyor. Filmde çok fazla "aşırı mükemmel sahne" var bu sahneler birazda olsa göze batıyorlar ve filmden kopmanızı sağlıyorlar ayrıca özellikle ilk yarıdaki çoğu sahne gerici olmamasına rağmen aşırı gerici müzikler kullanılması o sahneyi absürt gösteriyor bu ikiside doğallığı bozuyor. Ancak müzikler yersiz kullanılmasına rağmen ses tasarımı gayet güzel. Filmde beğenmediğim en büyük kısım ise korku temasının genellikle jumpscare ve yüksek sesli sahneler ile verilmesi filmden kopmama ve saygımı yitirmeme neden oldu bundan dolayı kesinlikle sinemada izlenmesi gereken bir film evde izlesem gerileceğimi bile düşünmüyorum. Her şeye rağmen sonu tahmin edilemezdi ve filmin outrosu gayet güzeldi. Konusu ilginç, rahatsız edici, gerici fakat korkunç olmayan bir film olarak özetlenebilir. İmdb puanı ise aşırı overrated.</t>
  </si>
  <si>
    <t>War Dogs</t>
  </si>
  <si>
    <t>Sinematografi yeterli, bazı sahneler komik, aktörler gayet iyi, hikaye ilginç, tam kafa dağıtmalık film gayet yeterli ve eğlenceli. Üzerine çok da konuşulup yorum yapılacak bir film değil izle geç filmi.</t>
  </si>
  <si>
    <t>American Made</t>
  </si>
  <si>
    <t xml:space="preserve">  4</t>
  </si>
  <si>
    <t>Sinematografi bulunduğu yılları çok iyi vermiş, klasik bu temada olan diğer filmler gibi karakter başlangıçta çok iyi kazanıp sonda kaybediyor,  Tom Cruise'u bu şekilde bir karakterle görmeyi beklemiyordum ancak gayet güzel oturmuş, mantıksızlıklar var bu tarz filmde olmalı zaten, bir önceki film gibi tam kafa dağıtmalık, yeterli bir film.</t>
  </si>
  <si>
    <t>The Departed</t>
  </si>
  <si>
    <t>Aktörler mükemmel, senaryo mükemmel, baba yine yapmış yapacağını, bazı sahnelerde ufak güzel sembolizmler var, dönemin en iyi tüm aktörlerini toplamış,  başka bir scorsese masterpiece'i.</t>
  </si>
  <si>
    <t>Reservoir Dogs</t>
  </si>
  <si>
    <t>Tatil, DVD</t>
  </si>
  <si>
    <t>Aktörler çok iyi, diyaloglar mükemmel, karakterler süper. Sahnelerin uzunluğu filme bir öznellik ve gerçekçilik katmış. Film sonuna doğru tempo biraz düşüyor. Karekter betimlemeleri biraz uzun fakat hiç sıkmıyor. İlginç bir film, daha önce sahneleri bu kadar uzatıp doğallık katan bir film izlememiştim gayet güzel.</t>
  </si>
  <si>
    <t>The Big Short</t>
  </si>
  <si>
    <t>Tatil kuşadası</t>
  </si>
  <si>
    <t>Tüm aktörleri bir filme toplamışlar gibi, diyaloglar güzel yazılmış. Filmin hitap ettiği kitle gerçekten düşük ben izlerken bir yerden sonra terim ve bilgi yetersizliğinden anlamadım fakat ana fikre tabikide hakimim. Bu kadar az bir kitleye hitap edip bu kadar iyi aktörleri nasıl işe alabilmişler bilmiyorum. Eğer filmi tam olarak anlayabilsem Project Hail Marry gibi filmlerden bilgiye sahip olduğum için aldığım zevki bundanda alırdım. Alanında çok başarılı bir film.</t>
  </si>
  <si>
    <t>Shrek</t>
  </si>
  <si>
    <t>Animasyom günümüze göre çok hafif eski kalmış ancak sırıtmıyor. Müzik seçimleri mükemmel. Çocuklara yönelik bir animasyon olmasına rağmen yetişkinlere yönelik birçok sahne var. Gerçekten eğlenceli bir film fakat bana bazı sahneler fazla kısa geldi buda filmin doğallığını biraz bozmuş biraz daha uzun olabilirdi. Dublaj gerçekten çok iyi. Çerezlik animasyon filmi denilebilir.</t>
  </si>
  <si>
    <t>Kill Bill: Vol. 1</t>
  </si>
  <si>
    <t>Film introsunun farklılığı ve ilgi çekiciliği sayesinde seyircide büyük merak uyandırıyor. Hem introdaki hemde filmin genelindeki müzik seçimleri mükemmeldi filmi kült yapan detaylardan birisi denebilir. Diğer bir detay ise zaman zaman filmin gerçeklikten uzaklaşıp hem seyir zevkini arttırması hemde kendini özgün kılması. Şuana kadar izlediğim en "farklı" film diyebilirim. Ayrıca anime sahnesindeki animasyon kalitesi çok iyiydi, izlemesi zevkliydi. Kendi açımdan yorumlayacak olursam gerçekten iyi bir filmdi özellikle seyir zevki çok yüksekti fakat aksiyondan çok hikaye derinliğine, karakterlere önem veren birisi olarak benim için mükemmel ya da çok iyi bir film olduğunu söyleyemem ancak kesinlikle izlenmesi gereken bir film.</t>
  </si>
  <si>
    <t>The Machinist</t>
  </si>
  <si>
    <t>Dc (Turap, Enes)</t>
  </si>
  <si>
    <t>Öncelikle Chiristian Bale'in aktörlüğü ve verdiği emekler gerçekten filmi bir üst seviyeye çıkarmış. Bunun yanında filmin hikayenin üstü kapalılığı sayesinde büyük merak uyandırması, sembolizmleri ve birçok sahnedeki küçük detayları gerçekten takdire şayan. Fakat tüm seyir zevki o sembolizmin ve kapalılığın altında kalmış gibi filmi izlerken sürekli daha sonrasında ne olacağını bekliyorsun ya da tahmin etmeye çalışıyorsun bu da anlık tatmini benim açımdan baya düşürüyor. Filmin asıl zevkli, kaliteli kısmı üstüne sonradan düşünüp o küçük detayları ve sembolizmin anlamını fark etmekten geliyor. Shutter İsland ve Memento'da hem izlediğin sahneler zevkli, ilginç hemde seni düşündürüyor fakat The Machinist sadece düşündürüyor. Sonuca bakacak olursak bu tarz gizem, hafif sembolik, depresif  filmleri sevenlerin her ne kadar türün diğer filmleri kadar iyi olmasada kesinlikle izlemesi gereken bir film.</t>
  </si>
  <si>
    <t>Kill Bill Vol. 2</t>
  </si>
  <si>
    <t>aaaaaaaaaa</t>
  </si>
  <si>
    <t xml:space="preserve">  5</t>
  </si>
  <si>
    <t>📺  TOP 5 — DİZİ</t>
  </si>
  <si>
    <t>🎮  TOP 5 — OYUN</t>
  </si>
  <si>
    <t>KİTAP ADI</t>
  </si>
  <si>
    <t>YAZAR</t>
  </si>
  <si>
    <t>(??).(?).2025</t>
  </si>
  <si>
    <t>Satranç</t>
  </si>
  <si>
    <t>Stefan Zweig</t>
  </si>
  <si>
    <t>📚  TOP 5 — KİTAP</t>
  </si>
  <si>
    <t>📖  TOP 5 — MANGA</t>
  </si>
  <si>
    <t>📈  KATEGORİ ORTALAMA PUANLAR</t>
  </si>
  <si>
    <t>OYUN ADI</t>
  </si>
  <si>
    <t>Dizi</t>
  </si>
  <si>
    <t>Dispatch</t>
  </si>
  <si>
    <t>Anime</t>
  </si>
  <si>
    <t>Oyun</t>
  </si>
  <si>
    <t>Pragmata</t>
  </si>
  <si>
    <t>Kitap</t>
  </si>
  <si>
    <t>Metro 2033 Redux</t>
  </si>
  <si>
    <t>Manga</t>
  </si>
  <si>
    <t>Atmosfer mükemmel, hikaye kitap oyunu olmasına rağmen biraz eksik buldum oyunun % 80 lik kısmında sadece bir istasyona gidip mesaj iletmeye çalışmak tek motivasyonumuz, gunplayi çıkış yılına göre gayet yeterli eskimemiş, ranger da oynamama rağmen zorlanmadım,  hem post apokaliptik hemde fps survival shooter olması benim bu oyunu beğenmemin ana sebebi.</t>
  </si>
  <si>
    <t>MANGA ADI</t>
  </si>
  <si>
    <t>CİLT</t>
  </si>
  <si>
    <t>(??).(01).2026</t>
  </si>
  <si>
    <t>Berserk</t>
  </si>
  <si>
    <t>1-2-3-4</t>
  </si>
  <si>
    <t>5. Cilt</t>
  </si>
  <si>
    <t>MEDYA ADI</t>
  </si>
  <si>
    <t>MEDYA TÜRÜ</t>
  </si>
  <si>
    <t>Blue Eye Samurai (1 Sezon)</t>
  </si>
  <si>
    <t>Cyberpunk Edgerunners (1 Sezon)</t>
  </si>
  <si>
    <t>Death Note (2 Sezon)</t>
  </si>
  <si>
    <t>Attack on Titan (4 Sezon)</t>
  </si>
  <si>
    <t>Arcane (2 Sezon)</t>
  </si>
  <si>
    <t>Disenchantment (4 Sezon)</t>
  </si>
  <si>
    <t>Çizgi Dizi</t>
  </si>
  <si>
    <t>İnside Job (2 Sezon)</t>
  </si>
  <si>
    <t>Breaking Bad (5 Sezon)</t>
  </si>
  <si>
    <t>La Case De Papel (5 Sezon)</t>
  </si>
  <si>
    <t>The Walking Dead (11 Sezon)</t>
  </si>
  <si>
    <t>Vis a Vis (2 Sezon)</t>
  </si>
  <si>
    <t>The Witcher (3 Sezon)</t>
  </si>
  <si>
    <t>Stranger Things (4 Sezon)</t>
  </si>
  <si>
    <t>Narcos (1 Sezon)</t>
  </si>
  <si>
    <t>Better Call Saul (Bitti -son 3 bölüm)</t>
  </si>
  <si>
    <t>Brooklyn Nine Nine (? Sezon)</t>
  </si>
  <si>
    <t>All Of Us Are Dead (1 Sezon)</t>
  </si>
  <si>
    <t>Outer Banks (1 Sezon)</t>
  </si>
  <si>
    <t>Snowpiercer (? Sezon)</t>
  </si>
  <si>
    <t>The Umbrella Academy (3 Sezon)</t>
  </si>
  <si>
    <t>Love Death Robots (3 Sezon)</t>
  </si>
  <si>
    <t>Sweet Home (1 Sezon)</t>
  </si>
  <si>
    <t>The End Of The Fucking World (2 Sezon)</t>
  </si>
  <si>
    <t>Locke And Key (2 Sezon)</t>
  </si>
  <si>
    <t>The Rain (2 Sezon)</t>
  </si>
  <si>
    <t>Lost İn Space (3 Sezon)</t>
  </si>
  <si>
    <t>Resident Evil: Biohazard (1 Sezon)</t>
  </si>
  <si>
    <t>Sweet Tooth (1 Sezon)</t>
  </si>
  <si>
    <t>Daybreak (1 Sezon)</t>
  </si>
  <si>
    <t>Santa Clartia Diet (3 Sezon)</t>
  </si>
  <si>
    <t>How to Sell Drugs Online (Fast) (3 Sezon)</t>
  </si>
  <si>
    <t>The 100 (? Sezon)</t>
  </si>
  <si>
    <t>Fallout (1 Sezon)</t>
  </si>
  <si>
    <t>The Boys (4 Sezon)</t>
  </si>
  <si>
    <t>Prison Break (5 Sezon)</t>
  </si>
  <si>
    <t>Gen V (1 Sezon)</t>
  </si>
  <si>
    <t>Silo (1 Sezon)</t>
  </si>
  <si>
    <t>The Mandolorian (2 Sezon)</t>
  </si>
  <si>
    <t>Fear The Walking Dead (7 Sezon)</t>
  </si>
  <si>
    <t>The Walking Dead: World Beyond (1 Sezon)</t>
  </si>
  <si>
    <t>The Walking Dead: Daryl Dixon (1 Sezon)</t>
  </si>
  <si>
    <t>The Walking Dead: The Ones Who Live (1 Sezon)</t>
  </si>
  <si>
    <t>The Last Of Us (1 Sezon)</t>
  </si>
  <si>
    <t>Mr Robot (2 Sezon)</t>
  </si>
  <si>
    <t>Daredevil (2 Sezon)</t>
  </si>
  <si>
    <t>Punisher (2 Sezon)</t>
  </si>
  <si>
    <t>El Camino</t>
  </si>
  <si>
    <t>Ghost Rider</t>
  </si>
  <si>
    <t>Extraction</t>
  </si>
  <si>
    <t>Extraction 2</t>
  </si>
  <si>
    <t>Army Of Thieves</t>
  </si>
  <si>
    <t>Don't Look Up</t>
  </si>
  <si>
    <t>6 Underground</t>
  </si>
  <si>
    <t xml:space="preserve">Choose or Die
</t>
  </si>
  <si>
    <t>Stowaway</t>
  </si>
  <si>
    <t>İnterstellar</t>
  </si>
  <si>
    <t>The Truman Show</t>
  </si>
  <si>
    <t>Fight Club</t>
  </si>
  <si>
    <t>Joker</t>
  </si>
  <si>
    <t xml:space="preserve">Batman Begins
</t>
  </si>
  <si>
    <t xml:space="preserve">The Dark Knight Rises
</t>
  </si>
  <si>
    <t>The Dark Night</t>
  </si>
  <si>
    <t xml:space="preserve">Dune: Part One
</t>
  </si>
  <si>
    <t>Dune: Part Two</t>
  </si>
  <si>
    <t>Nightcrawler</t>
  </si>
  <si>
    <t>Drive</t>
  </si>
  <si>
    <t>Deadpool And Wolverine</t>
  </si>
  <si>
    <t>Blade Runner 2049</t>
  </si>
  <si>
    <t>The Martian</t>
  </si>
  <si>
    <t>Ted</t>
  </si>
  <si>
    <t>Ted 2</t>
  </si>
  <si>
    <t>Mad Max: Furry Road</t>
  </si>
  <si>
    <t>Furiosa: a Mad Max Saga</t>
  </si>
  <si>
    <t>Hunger Games</t>
  </si>
  <si>
    <t>Bullet Train</t>
  </si>
  <si>
    <t>Train To Busan</t>
  </si>
  <si>
    <t>Zombieland</t>
  </si>
  <si>
    <t>Zombieland 2</t>
  </si>
  <si>
    <t>Resident Evil</t>
  </si>
  <si>
    <t>Resident Evil: Apocalypse</t>
  </si>
  <si>
    <t>Resident Evil: Extinction</t>
  </si>
  <si>
    <t>Resident Evil: Afterlife</t>
  </si>
  <si>
    <t>Resident Evil: Retribution</t>
  </si>
  <si>
    <t>Resident Evil: The Final Chapter</t>
  </si>
  <si>
    <t>Baby Driver</t>
  </si>
  <si>
    <t>Inception</t>
  </si>
  <si>
    <t>The Wolf Of Wall Street</t>
  </si>
  <si>
    <t>The Nice Guys</t>
  </si>
  <si>
    <t>#Alive</t>
  </si>
  <si>
    <t>Cars 1</t>
  </si>
  <si>
    <t>Cars 2</t>
  </si>
  <si>
    <t>Cars 3</t>
  </si>
  <si>
    <t>Kung Fu Panda</t>
  </si>
  <si>
    <t>Kung Fu Panda 2</t>
  </si>
  <si>
    <t>Kung Fu Panda 3</t>
  </si>
  <si>
    <t>Kung Fu Panda 4</t>
  </si>
  <si>
    <t>Iron Man</t>
  </si>
  <si>
    <t>The Incredible Hulk</t>
  </si>
  <si>
    <t>Iron Man 2</t>
  </si>
  <si>
    <t>Thor</t>
  </si>
  <si>
    <t>Captain America: The First Avenger</t>
  </si>
  <si>
    <t>The Avengers</t>
  </si>
  <si>
    <t>Iron Man 3</t>
  </si>
  <si>
    <t>Thor: The Dark World</t>
  </si>
  <si>
    <t>Captain America: The Winter Soldier</t>
  </si>
  <si>
    <t>Guardians of the Galaxy</t>
  </si>
  <si>
    <t>Avengers: Age of Ultron</t>
  </si>
  <si>
    <t>Ant-Man</t>
  </si>
  <si>
    <t>Five Nights At Freddy's</t>
  </si>
  <si>
    <t>Captain America: Civil War</t>
  </si>
  <si>
    <t>Doctor Strange</t>
  </si>
  <si>
    <t>Guardians of the Galaxy Vol. 2</t>
  </si>
  <si>
    <t>Avengers: Infinity War</t>
  </si>
  <si>
    <t>Avengers: Endgame</t>
  </si>
  <si>
    <t>Spider-Man: No Way Home</t>
  </si>
  <si>
    <t>Guardians of the Galaxy Vol. 3</t>
  </si>
  <si>
    <t>Deadpool</t>
  </si>
  <si>
    <t>Deadpool 2</t>
  </si>
  <si>
    <t>Chappie</t>
  </si>
  <si>
    <t>Ready Player One</t>
  </si>
  <si>
    <t>John Wİck</t>
  </si>
  <si>
    <t>John Wick: Chapter 2</t>
  </si>
  <si>
    <t>John Wick: Chapter 3 - Parabellum</t>
  </si>
  <si>
    <t>John Wick: Chapter 4</t>
  </si>
  <si>
    <t>American Psycho</t>
  </si>
  <si>
    <t>V For Vendetta</t>
  </si>
  <si>
    <t>Spider-Man: Into the Spider-Verse</t>
  </si>
  <si>
    <t>Spider-Man: Across the Spider-Verse</t>
  </si>
  <si>
    <t>Suicide Squad</t>
  </si>
  <si>
    <t>Birds of Prey</t>
  </si>
  <si>
    <t>Nobody</t>
  </si>
  <si>
    <t>Rango</t>
  </si>
  <si>
    <t xml:space="preserve">Puss in Boots: The Last Wish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</si>
</sst>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0.0"/>
    <numFmt numFmtId="166" formatCode="dd.mm.yyyy"/>
  </numFmts>
  <fonts count="31">
    <font>
      <sz val="11.0"/>
      <color rgb="FF000000"/>
      <name val="Arial"/>
      <scheme val="minor"/>
    </font>
    <font>
      <sz val="11.0"/>
      <color rgb="FF000000"/>
      <name val="Arial"/>
    </font>
    <font>
      <b/>
      <sz val="9.0"/>
      <color rgb="FF475569"/>
      <name val="Calibri"/>
    </font>
    <font>
      <b/>
      <sz val="15.0"/>
      <color rgb="FF334155"/>
      <name val="Calibri"/>
    </font>
    <font/>
    <font>
      <b/>
      <sz val="11.0"/>
      <color rgb="FFFFFFFF"/>
      <name val="Calibri"/>
    </font>
    <font>
      <b/>
      <sz val="10.0"/>
      <color rgb="FF475569"/>
      <name val="Calibri"/>
    </font>
    <font>
      <b/>
      <sz val="9.0"/>
      <color rgb="FF10B981"/>
      <name val="Calibri"/>
    </font>
    <font>
      <sz val="9.0"/>
      <color rgb="FF475569"/>
      <name val="Calibri"/>
    </font>
    <font>
      <b/>
      <sz val="13.0"/>
      <color rgb="FF10B981"/>
      <name val="Calibri"/>
    </font>
    <font>
      <sz val="9.0"/>
      <color rgb="FF334155"/>
      <name val="Calibri"/>
    </font>
    <font>
      <sz val="9.0"/>
      <color rgb="FF000000"/>
      <name val="Calibri"/>
    </font>
    <font>
      <b/>
      <sz val="8.0"/>
      <color rgb="FF475569"/>
      <name val="Calibri"/>
    </font>
    <font>
      <b/>
      <sz val="11.0"/>
      <color rgb="FF3B82F6"/>
      <name val="Calibri"/>
    </font>
    <font>
      <b/>
      <sz val="9.0"/>
      <color rgb="FF334155"/>
      <name val="Calibri"/>
    </font>
    <font>
      <b/>
      <sz val="12.0"/>
      <color theme="4"/>
      <name val="Calibri"/>
    </font>
    <font>
      <b/>
      <sz val="9.0"/>
      <color rgb="FF000000"/>
      <name val="Calibri"/>
    </font>
    <font>
      <sz val="11.0"/>
      <color rgb="FF1E293B"/>
      <name val="Calibri"/>
    </font>
    <font>
      <i/>
      <sz val="9.0"/>
      <color rgb="FF475569"/>
      <name val="Calibri"/>
    </font>
    <font>
      <b/>
      <sz val="10.0"/>
      <color rgb="FFFFFFFF"/>
      <name val="Calibri"/>
    </font>
    <font>
      <sz val="10.0"/>
      <color rgb="FF475569"/>
      <name val="Calibri"/>
    </font>
    <font>
      <sz val="9.0"/>
      <color rgb="FF10B981"/>
      <name val="Calibri"/>
    </font>
    <font>
      <sz val="10.0"/>
      <color rgb="FF334155"/>
      <name val="Calibri"/>
    </font>
    <font>
      <b/>
      <sz val="10.0"/>
      <color rgb="FF10B981"/>
      <name val="Calibri"/>
    </font>
    <font>
      <b/>
      <sz val="9.0"/>
      <color rgb="FF22C55E"/>
      <name val="Calibri"/>
    </font>
    <font>
      <b/>
      <sz val="11.0"/>
      <color rgb="FF10B981"/>
      <name val="Calibri"/>
    </font>
    <font>
      <color theme="1"/>
      <name val="Arial"/>
      <scheme val="minor"/>
    </font>
    <font>
      <sz val="11.0"/>
      <color rgb="FF1E293B"/>
      <name val="Arial"/>
    </font>
    <font>
      <b/>
      <sz val="11.0"/>
      <color rgb="FF000000"/>
      <name val="Calibri"/>
    </font>
    <font>
      <sz val="11.0"/>
      <color theme="1"/>
      <name val="Arial"/>
    </font>
    <font>
      <sz val="9.0"/>
      <color theme="1"/>
      <name val="Calibri"/>
    </font>
  </fonts>
  <fills count="10">
    <fill>
      <patternFill patternType="none"/>
    </fill>
    <fill>
      <patternFill patternType="lightGray"/>
    </fill>
    <fill>
      <patternFill patternType="solid">
        <fgColor rgb="FFFAFAFA"/>
        <bgColor rgb="FFFAFAFA"/>
      </patternFill>
    </fill>
    <fill>
      <patternFill patternType="solid">
        <fgColor rgb="FFE2E8F0"/>
        <bgColor rgb="FFE2E8F0"/>
      </patternFill>
    </fill>
    <fill>
      <patternFill patternType="solid">
        <fgColor rgb="FF334155"/>
        <bgColor rgb="FF334155"/>
      </patternFill>
    </fill>
    <fill>
      <patternFill patternType="solid">
        <fgColor rgb="FFF1F5F9"/>
        <bgColor rgb="FFF1F5F9"/>
      </patternFill>
    </fill>
    <fill>
      <patternFill patternType="solid">
        <fgColor rgb="FFE8EFF7"/>
        <bgColor rgb="FFE8EFF7"/>
      </patternFill>
    </fill>
    <fill>
      <patternFill patternType="solid">
        <fgColor rgb="FFFFECD9"/>
        <bgColor rgb="FFFFECD9"/>
      </patternFill>
    </fill>
    <fill>
      <patternFill patternType="solid">
        <fgColor rgb="FFF8FAFC"/>
        <bgColor rgb="FFF8FAFC"/>
      </patternFill>
    </fill>
    <fill>
      <patternFill patternType="solid">
        <fgColor rgb="FFFFFFFF"/>
        <bgColor rgb="FFFFFFFF"/>
      </patternFill>
    </fill>
  </fills>
  <borders count="8">
    <border/>
    <border>
      <left/>
      <right/>
      <top/>
      <bottom/>
    </border>
    <border>
      <left style="thin">
        <color rgb="FFD1D5DB"/>
      </left>
      <right style="thin">
        <color rgb="FFD1D5DB"/>
      </right>
      <top style="thin">
        <color rgb="FFD1D5DB"/>
      </top>
      <bottom style="thin">
        <color rgb="FFD1D5DB"/>
      </bottom>
    </border>
    <border>
      <left/>
      <top/>
      <bottom/>
    </border>
    <border>
      <top/>
      <bottom/>
    </border>
    <border>
      <right/>
      <top/>
      <bottom/>
    </border>
    <border>
      <left style="thin">
        <color rgb="FFD1D5DB"/>
      </left>
      <top style="thin">
        <color rgb="FFD1D5DB"/>
      </top>
      <bottom style="thin">
        <color rgb="FFD1D5DB"/>
      </bottom>
    </border>
    <border>
      <left/>
      <right/>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3" fontId="2" numFmtId="0" xfId="0" applyAlignment="1" applyBorder="1" applyFill="1" applyFont="1">
      <alignment horizontal="center" shrinkToFit="0" vertical="center" wrapText="0"/>
    </xf>
    <xf borderId="2" fillId="3" fontId="2" numFmtId="0" xfId="0" applyAlignment="1" applyBorder="1" applyFill="1" applyFont="1">
      <alignment horizontal="center" shrinkToFit="0" vertical="center" wrapText="1"/>
    </xf>
    <xf borderId="3" fillId="2" fontId="3" numFmtId="0" xfId="0" applyAlignment="1" applyBorder="1" applyFill="1" applyFont="1">
      <alignment horizontal="center" shrinkToFit="0" vertical="center" wrapText="0"/>
    </xf>
    <xf borderId="4" fillId="0" fontId="4" numFmtId="0" xfId="0" applyBorder="1" applyFont="1"/>
    <xf borderId="5" fillId="0" fontId="4" numFmtId="0" xfId="0" applyBorder="1" applyFont="1"/>
    <xf borderId="1" fillId="4" fontId="5" numFmtId="0" xfId="0" applyAlignment="1" applyBorder="1" applyFill="1" applyFont="1">
      <alignment horizontal="left" shrinkToFit="0" vertical="center" wrapText="0"/>
    </xf>
    <xf borderId="1" fillId="4" fontId="1" numFmtId="0" xfId="0" applyAlignment="1" applyBorder="1" applyFill="1" applyFont="1">
      <alignment shrinkToFit="0" vertical="bottom" wrapText="0"/>
    </xf>
    <xf borderId="2" fillId="3" fontId="6" numFmtId="0" xfId="0" applyAlignment="1" applyBorder="1" applyFill="1" applyFont="1">
      <alignment horizontal="center" shrinkToFit="0" vertical="center" wrapText="0"/>
    </xf>
    <xf borderId="2" fillId="3" fontId="6" numFmtId="0" xfId="0" applyAlignment="1" applyBorder="1" applyFill="1" applyFont="1">
      <alignment horizontal="center" readingOrder="0" shrinkToFit="0" vertical="center" wrapText="0"/>
    </xf>
    <xf borderId="2" fillId="3" fontId="7" numFmtId="0" xfId="0" applyAlignment="1" applyBorder="1" applyFill="1" applyFont="1">
      <alignment horizontal="center" shrinkToFit="0" vertical="center" wrapText="0"/>
    </xf>
    <xf borderId="2" fillId="5" fontId="8" numFmtId="164" xfId="0" applyAlignment="1" applyBorder="1" applyFill="1" applyFont="1" applyNumberFormat="1">
      <alignment horizontal="center" shrinkToFit="0" vertical="center" wrapText="0"/>
    </xf>
    <xf borderId="2" fillId="5" fontId="9" numFmtId="0" xfId="0" applyAlignment="1" applyBorder="1" applyFill="1" applyFont="1">
      <alignment horizontal="center" shrinkToFit="0" vertical="center" wrapText="0"/>
    </xf>
    <xf borderId="2" fillId="5" fontId="10" numFmtId="0" xfId="0" applyAlignment="1" applyBorder="1" applyFill="1" applyFont="1">
      <alignment horizontal="left" shrinkToFit="0" vertical="center" wrapText="0"/>
    </xf>
    <xf borderId="2" fillId="5" fontId="11" numFmtId="165" xfId="0" applyAlignment="1" applyBorder="1" applyFill="1" applyFont="1" applyNumberFormat="1">
      <alignment horizontal="center" shrinkToFit="0" vertical="center" wrapText="0"/>
    </xf>
    <xf borderId="2" fillId="5" fontId="10" numFmtId="0" xfId="0" applyAlignment="1" applyBorder="1" applyFill="1" applyFont="1">
      <alignment horizontal="left" shrinkToFit="0" vertical="center" wrapText="1"/>
    </xf>
    <xf borderId="2" fillId="6" fontId="12" numFmtId="0" xfId="0" applyAlignment="1" applyBorder="1" applyFill="1" applyFont="1">
      <alignment horizontal="right" shrinkToFit="0" vertical="center" wrapText="0"/>
    </xf>
    <xf borderId="2" fillId="6" fontId="13" numFmtId="165" xfId="0" applyAlignment="1" applyBorder="1" applyFill="1" applyFont="1" applyNumberFormat="1">
      <alignment horizontal="center" shrinkToFit="0" vertical="center" wrapText="0"/>
    </xf>
    <xf borderId="2" fillId="7" fontId="2" numFmtId="164" xfId="0" applyAlignment="1" applyBorder="1" applyFill="1" applyFont="1" applyNumberFormat="1">
      <alignment horizontal="center" shrinkToFit="0" vertical="center" wrapText="0"/>
    </xf>
    <xf borderId="2" fillId="8" fontId="8" numFmtId="164" xfId="0" applyAlignment="1" applyBorder="1" applyFill="1" applyFont="1" applyNumberFormat="1">
      <alignment horizontal="center" shrinkToFit="0" vertical="center" wrapText="0"/>
    </xf>
    <xf borderId="2" fillId="7" fontId="14" numFmtId="0" xfId="0" applyAlignment="1" applyBorder="1" applyFill="1" applyFont="1">
      <alignment horizontal="left" shrinkToFit="0" vertical="center" wrapText="0"/>
    </xf>
    <xf borderId="2" fillId="6" fontId="15" numFmtId="0" xfId="0" applyAlignment="1" applyBorder="1" applyFill="1" applyFont="1">
      <alignment horizontal="center" shrinkToFit="0" vertical="center" wrapText="0"/>
    </xf>
    <xf borderId="2" fillId="7" fontId="16" numFmtId="165" xfId="0" applyAlignment="1" applyBorder="1" applyFill="1" applyFont="1" applyNumberFormat="1">
      <alignment horizontal="center" shrinkToFit="0" vertical="center" wrapText="0"/>
    </xf>
    <xf borderId="2" fillId="8" fontId="10" numFmtId="0" xfId="0" applyAlignment="1" applyBorder="1" applyFill="1" applyFont="1">
      <alignment horizontal="left" shrinkToFit="0" vertical="center" wrapText="0"/>
    </xf>
    <xf borderId="0" fillId="0" fontId="17" numFmtId="0" xfId="0" applyAlignment="1" applyFont="1">
      <alignment shrinkToFit="0" vertical="bottom" wrapText="0"/>
    </xf>
    <xf borderId="2" fillId="8" fontId="11" numFmtId="165" xfId="0" applyAlignment="1" applyBorder="1" applyFill="1" applyFont="1" applyNumberFormat="1">
      <alignment horizontal="center" shrinkToFit="0" vertical="center" wrapText="0"/>
    </xf>
    <xf borderId="2" fillId="8" fontId="10" numFmtId="0" xfId="0" applyAlignment="1" applyBorder="1" applyFill="1" applyFont="1">
      <alignment horizontal="left" shrinkToFit="0" vertical="center" wrapText="1"/>
    </xf>
    <xf borderId="1" fillId="2" fontId="18" numFmtId="0" xfId="0" applyAlignment="1" applyBorder="1" applyFill="1" applyFont="1">
      <alignment horizontal="center" shrinkToFit="0" vertical="center" wrapText="0"/>
    </xf>
    <xf borderId="2" fillId="4" fontId="19" numFmtId="0" xfId="0" applyAlignment="1" applyBorder="1" applyFill="1" applyFont="1">
      <alignment horizontal="left" shrinkToFit="0" vertical="center" wrapText="0"/>
    </xf>
    <xf borderId="2" fillId="4" fontId="1" numFmtId="0" xfId="0" applyAlignment="1" applyBorder="1" applyFill="1" applyFont="1">
      <alignment shrinkToFit="0" vertical="bottom" wrapText="0"/>
    </xf>
    <xf borderId="2" fillId="5" fontId="20" numFmtId="0" xfId="0" applyAlignment="1" applyBorder="1" applyFill="1" applyFont="1">
      <alignment horizontal="center" shrinkToFit="0" vertical="center" wrapText="0"/>
    </xf>
    <xf borderId="2" fillId="7" fontId="14" numFmtId="0" xfId="0" applyAlignment="1" applyBorder="1" applyFill="1" applyFont="1">
      <alignment horizontal="left" shrinkToFit="0" vertical="center" wrapText="1"/>
    </xf>
    <xf borderId="2" fillId="8" fontId="10" numFmtId="0" xfId="0" applyAlignment="1" applyBorder="1" applyFill="1" applyFont="1">
      <alignment horizontal="left" readingOrder="0" shrinkToFit="0" vertical="center" wrapText="0"/>
    </xf>
    <xf borderId="2" fillId="8" fontId="11" numFmtId="165" xfId="0" applyAlignment="1" applyBorder="1" applyFill="1" applyFont="1" applyNumberFormat="1">
      <alignment horizontal="center" readingOrder="0" shrinkToFit="0" vertical="center" wrapText="0"/>
    </xf>
    <xf borderId="2" fillId="5" fontId="8" numFmtId="0" xfId="0" applyAlignment="1" applyBorder="1" applyFill="1" applyFont="1">
      <alignment horizontal="center" shrinkToFit="0" vertical="center" wrapText="0"/>
    </xf>
    <xf borderId="2" fillId="5" fontId="10" numFmtId="0" xfId="0" applyAlignment="1" applyBorder="1" applyFill="1" applyFont="1">
      <alignment horizontal="left" readingOrder="0" shrinkToFit="0" vertical="center" wrapText="0"/>
    </xf>
    <xf borderId="2" fillId="5" fontId="21" numFmtId="165" xfId="0" applyAlignment="1" applyBorder="1" applyFill="1" applyFont="1" applyNumberFormat="1">
      <alignment horizontal="center" shrinkToFit="0" vertical="center" wrapText="0"/>
    </xf>
    <xf borderId="2" fillId="8" fontId="8" numFmtId="0" xfId="0" applyAlignment="1" applyBorder="1" applyFill="1" applyFont="1">
      <alignment horizontal="center" shrinkToFit="0" vertical="center" wrapText="0"/>
    </xf>
    <xf borderId="2" fillId="8" fontId="21" numFmtId="165" xfId="0" applyAlignment="1" applyBorder="1" applyFill="1" applyFont="1" applyNumberFormat="1">
      <alignment horizontal="center" shrinkToFit="0" vertical="center" wrapText="0"/>
    </xf>
    <xf borderId="2" fillId="5" fontId="22" numFmtId="0" xfId="0" applyAlignment="1" applyBorder="1" applyFill="1" applyFont="1">
      <alignment horizontal="left" shrinkToFit="0" vertical="center" wrapText="0"/>
    </xf>
    <xf borderId="2" fillId="5" fontId="23" numFmtId="0" xfId="0" applyAlignment="1" applyBorder="1" applyFill="1" applyFont="1">
      <alignment horizontal="center" shrinkToFit="0" vertical="center" wrapText="0"/>
    </xf>
    <xf borderId="2" fillId="8" fontId="8" numFmtId="166" xfId="0" applyAlignment="1" applyBorder="1" applyFill="1" applyFont="1" applyNumberFormat="1">
      <alignment horizontal="center" readingOrder="0" shrinkToFit="0" vertical="center" wrapText="0"/>
    </xf>
    <xf borderId="2" fillId="8" fontId="21" numFmtId="165" xfId="0" applyAlignment="1" applyBorder="1" applyFill="1" applyFont="1" applyNumberFormat="1">
      <alignment horizontal="center" readingOrder="0" shrinkToFit="0" vertical="center" wrapText="0"/>
    </xf>
    <xf borderId="2" fillId="8" fontId="10" numFmtId="0" xfId="0" applyAlignment="1" applyBorder="1" applyFill="1" applyFont="1">
      <alignment horizontal="left" readingOrder="0" shrinkToFit="0" vertical="center" wrapText="1"/>
    </xf>
    <xf borderId="2" fillId="5" fontId="8" numFmtId="166" xfId="0" applyAlignment="1" applyBorder="1" applyFill="1" applyFont="1" applyNumberFormat="1">
      <alignment horizontal="center" readingOrder="0" shrinkToFit="0" vertical="center" wrapText="0"/>
    </xf>
    <xf borderId="2" fillId="5" fontId="21" numFmtId="165" xfId="0" applyAlignment="1" applyBorder="1" applyFill="1" applyFont="1" applyNumberFormat="1">
      <alignment horizontal="center" readingOrder="0" shrinkToFit="0" vertical="center" wrapText="0"/>
    </xf>
    <xf borderId="2" fillId="8" fontId="20" numFmtId="0" xfId="0" applyAlignment="1" applyBorder="1" applyFill="1" applyFont="1">
      <alignment horizontal="center" shrinkToFit="0" vertical="center" wrapText="0"/>
    </xf>
    <xf borderId="2" fillId="5" fontId="10" numFmtId="0" xfId="0" applyAlignment="1" applyBorder="1" applyFill="1" applyFont="1">
      <alignment horizontal="left" readingOrder="0" shrinkToFit="0" vertical="center" wrapText="1"/>
    </xf>
    <xf borderId="2" fillId="8" fontId="22" numFmtId="0" xfId="0" applyAlignment="1" applyBorder="1" applyFill="1" applyFont="1">
      <alignment horizontal="left" shrinkToFit="0" vertical="center" wrapText="0"/>
    </xf>
    <xf borderId="2" fillId="8" fontId="23" numFmtId="0" xfId="0" applyAlignment="1" applyBorder="1" applyFill="1" applyFont="1">
      <alignment horizontal="center" shrinkToFit="0" vertical="center" wrapText="0"/>
    </xf>
    <xf borderId="2" fillId="8" fontId="21" numFmtId="0" xfId="0" applyAlignment="1" applyBorder="1" applyFill="1" applyFont="1">
      <alignment horizontal="center" shrinkToFit="0" vertical="center" wrapText="0"/>
    </xf>
    <xf borderId="2" fillId="8" fontId="11" numFmtId="0" xfId="0" applyAlignment="1" applyBorder="1" applyFill="1" applyFont="1">
      <alignment horizontal="center" shrinkToFit="0" vertical="center" wrapText="0"/>
    </xf>
    <xf borderId="0" fillId="0" fontId="1" numFmtId="0" xfId="0" applyAlignment="1" applyFont="1">
      <alignment shrinkToFit="0" vertical="bottom" wrapText="0"/>
    </xf>
    <xf borderId="2" fillId="5" fontId="21" numFmtId="0" xfId="0" applyAlignment="1" applyBorder="1" applyFill="1" applyFont="1">
      <alignment horizontal="center" shrinkToFit="0" vertical="center" wrapText="0"/>
    </xf>
    <xf borderId="2" fillId="8" fontId="8" numFmtId="0" xfId="0" applyAlignment="1" applyBorder="1" applyFill="1" applyFont="1">
      <alignment horizontal="center" readingOrder="0" shrinkToFit="0" vertical="center" wrapText="0"/>
    </xf>
    <xf borderId="2" fillId="5" fontId="21" numFmtId="0" xfId="0" applyAlignment="1" applyBorder="1" applyFill="1" applyFont="1">
      <alignment horizontal="center" readingOrder="0" shrinkToFit="0" vertical="center" wrapText="0"/>
    </xf>
    <xf borderId="2" fillId="8" fontId="8" numFmtId="166" xfId="0" applyAlignment="1" applyBorder="1" applyFill="1" applyFont="1" applyNumberFormat="1">
      <alignment horizontal="center"/>
    </xf>
    <xf borderId="2" fillId="8" fontId="10" numFmtId="0" xfId="0" applyBorder="1" applyFill="1" applyFont="1"/>
    <xf borderId="2" fillId="8" fontId="24" numFmtId="165" xfId="0" applyAlignment="1" applyBorder="1" applyFill="1" applyFont="1" applyNumberFormat="1">
      <alignment horizontal="center" readingOrder="0"/>
    </xf>
    <xf borderId="2" fillId="8" fontId="10" numFmtId="0" xfId="0" applyAlignment="1" applyBorder="1" applyFill="1" applyFont="1">
      <alignment shrinkToFit="0" wrapText="1"/>
    </xf>
    <xf borderId="2" fillId="3" fontId="2" numFmtId="0" xfId="0" applyAlignment="1" applyBorder="1" applyFill="1" applyFont="1">
      <alignment horizontal="right" shrinkToFit="0" vertical="center" wrapText="0"/>
    </xf>
    <xf borderId="2" fillId="3" fontId="25" numFmtId="0" xfId="0" applyAlignment="1" applyBorder="1" applyFill="1" applyFont="1">
      <alignment horizontal="center" shrinkToFit="0" vertical="center" wrapText="0"/>
    </xf>
    <xf borderId="0" fillId="0" fontId="26" numFmtId="0" xfId="0" applyAlignment="1" applyFont="1">
      <alignment shrinkToFit="0" wrapText="1"/>
    </xf>
    <xf borderId="2" fillId="6" fontId="8" numFmtId="0" xfId="0" applyAlignment="1" applyBorder="1" applyFill="1" applyFont="1">
      <alignment horizontal="right" shrinkToFit="0" vertical="center" wrapText="0"/>
    </xf>
    <xf borderId="0" fillId="0" fontId="27" numFmtId="0" xfId="0" applyAlignment="1" applyFont="1">
      <alignment shrinkToFit="0" vertical="bottom" wrapText="0"/>
    </xf>
    <xf borderId="1" fillId="2" fontId="28" numFmtId="0" xfId="0" applyAlignment="1" applyBorder="1" applyFill="1" applyFont="1">
      <alignment horizontal="left" shrinkToFit="0" vertical="center" wrapText="0"/>
    </xf>
    <xf borderId="3" fillId="2" fontId="1" numFmtId="0" xfId="0" applyAlignment="1" applyBorder="1" applyFill="1" applyFont="1">
      <alignment shrinkToFit="0" vertical="bottom" wrapText="0"/>
    </xf>
    <xf borderId="0" fillId="0" fontId="29" numFmtId="0" xfId="0" applyAlignment="1" applyFont="1">
      <alignment shrinkToFit="0" vertical="center" wrapText="1"/>
    </xf>
    <xf borderId="6" fillId="3" fontId="2" numFmtId="0" xfId="0" applyAlignment="1" applyBorder="1" applyFill="1" applyFont="1">
      <alignment horizontal="center" shrinkToFit="0" vertical="center" wrapText="0"/>
    </xf>
    <xf borderId="0" fillId="3" fontId="2" numFmtId="0" xfId="0" applyAlignment="1" applyFill="1" applyFont="1">
      <alignment horizontal="center" shrinkToFit="0" vertical="center" wrapText="0"/>
    </xf>
    <xf borderId="0" fillId="3" fontId="7" numFmtId="0" xfId="0" applyAlignment="1" applyFill="1" applyFont="1">
      <alignment horizontal="center" shrinkToFit="0" vertical="center" wrapText="0"/>
    </xf>
    <xf borderId="2" fillId="5" fontId="8" numFmtId="0" xfId="0" applyAlignment="1" applyBorder="1" applyFill="1" applyFont="1">
      <alignment horizontal="center" readingOrder="0" shrinkToFit="0" vertical="center" wrapText="0"/>
    </xf>
    <xf borderId="7" fillId="9" fontId="30" numFmtId="0" xfId="0" applyAlignment="1" applyBorder="1" applyFill="1" applyFont="1">
      <alignment shrinkToFit="0" vertical="center" wrapText="0"/>
    </xf>
    <xf borderId="1" fillId="9" fontId="30" numFmtId="0" xfId="0" applyAlignment="1" applyBorder="1" applyFill="1" applyFont="1">
      <alignment shrinkToFit="0" vertical="center" wrapText="0"/>
    </xf>
    <xf borderId="2" fillId="5" fontId="10" numFmtId="0" xfId="0" applyAlignment="1" applyBorder="1" applyFill="1" applyFont="1">
      <alignment horizontal="left" readingOrder="0" shrinkToFit="0" vertical="center" wrapText="0"/>
    </xf>
    <xf borderId="2" fillId="5" fontId="8" numFmtId="0" xfId="0" applyAlignment="1" applyBorder="1" applyFill="1" applyFont="1">
      <alignment horizontal="center" readingOrder="0" shrinkToFit="0" vertical="center" wrapText="0"/>
    </xf>
    <xf borderId="2" fillId="8" fontId="10" numFmtId="0" xfId="0" applyAlignment="1" applyBorder="1" applyFill="1" applyFont="1">
      <alignment horizontal="left" readingOrder="0" shrinkToFit="0" vertical="center" wrapText="0"/>
    </xf>
    <xf borderId="2" fillId="8" fontId="8" numFmtId="0" xfId="0" applyAlignment="1" applyBorder="1" applyFill="1" applyFont="1">
      <alignment horizontal="center" readingOrder="0" shrinkToFit="0" vertical="center" wrapText="0"/>
    </xf>
    <xf borderId="0" fillId="0" fontId="26" numFmtId="0" xfId="0" applyAlignment="1" applyFont="1">
      <alignment shrinkToFit="0" wrapText="0"/>
    </xf>
  </cellXfs>
  <cellStyles count="1">
    <cellStyle xfId="0" name="Normal" builtinId="0"/>
  </cellStyles>
  <dxfs count="4">
    <dxf>
      <font>
        <b/>
        <color rgb="FF22C55E"/>
      </font>
      <fill>
        <patternFill patternType="none"/>
      </fill>
      <border/>
    </dxf>
    <dxf>
      <font>
        <b/>
        <color rgb="FFF59E0B"/>
      </font>
      <fill>
        <patternFill patternType="none"/>
      </fill>
      <border/>
    </dxf>
    <dxf>
      <font>
        <b/>
        <color rgb="FFEF4444"/>
      </font>
      <fill>
        <patternFill patternType="none"/>
      </fill>
      <border/>
    </dxf>
    <dxf>
      <font>
        <b/>
      </font>
      <fill>
        <patternFill patternType="solid">
          <fgColor rgb="FFFFECD9"/>
          <bgColor rgb="FFFFEC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0B981"/>
    <pageSetUpPr/>
  </sheetPr>
  <sheetViews>
    <sheetView workbookViewId="0"/>
  </sheetViews>
  <sheetFormatPr customHeight="1" defaultColWidth="12.63" defaultRowHeight="15.0"/>
  <cols>
    <col customWidth="1" min="1" max="2" width="2.0"/>
    <col customWidth="1" min="3" max="3" width="16.0"/>
    <col customWidth="1" min="4" max="4" width="30.0"/>
    <col customWidth="1" min="5" max="5" width="10.75"/>
    <col customWidth="1" min="6" max="6" width="10.0"/>
    <col customWidth="1" min="7" max="7" width="16.0"/>
    <col customWidth="1" min="8" max="8" width="30.0"/>
    <col customWidth="1" min="9" max="9" width="12.88"/>
    <col customWidth="1" min="10" max="10" width="2.0"/>
  </cols>
  <sheetData>
    <row r="1" ht="21.75" customHeight="1">
      <c r="A1" s="1"/>
      <c r="B1" s="1"/>
      <c r="C1" s="1"/>
      <c r="D1" s="1"/>
      <c r="E1" s="1"/>
      <c r="F1" s="1"/>
      <c r="G1" s="1"/>
      <c r="H1" s="1"/>
      <c r="I1" s="1"/>
      <c r="J1" s="1"/>
    </row>
    <row r="2" ht="21.75" customHeight="1">
      <c r="A2" s="1"/>
      <c r="B2" s="1"/>
      <c r="C2" s="4" t="s">
        <v>7</v>
      </c>
      <c r="D2" s="5"/>
      <c r="E2" s="5"/>
      <c r="F2" s="5"/>
      <c r="G2" s="5"/>
      <c r="H2" s="5"/>
      <c r="I2" s="6"/>
      <c r="J2" s="1"/>
    </row>
    <row r="3" ht="21.75" customHeight="1">
      <c r="A3" s="1"/>
      <c r="B3" s="1"/>
      <c r="C3" s="1"/>
      <c r="D3" s="1"/>
      <c r="E3" s="1"/>
      <c r="F3" s="1"/>
      <c r="G3" s="1"/>
      <c r="H3" s="1"/>
      <c r="I3" s="1"/>
      <c r="J3" s="1"/>
    </row>
    <row r="4" ht="21.75" customHeight="1">
      <c r="A4" s="1"/>
      <c r="B4" s="1"/>
      <c r="C4" s="7" t="s">
        <v>12</v>
      </c>
      <c r="D4" s="8"/>
      <c r="E4" s="8"/>
      <c r="F4" s="8"/>
      <c r="G4" s="8"/>
      <c r="H4" s="8"/>
      <c r="I4" s="8"/>
      <c r="J4" s="1"/>
    </row>
    <row r="5" ht="21.75" customHeight="1">
      <c r="A5" s="1"/>
      <c r="B5" s="1"/>
      <c r="C5" s="9" t="s">
        <v>13</v>
      </c>
      <c r="D5" s="9" t="s">
        <v>14</v>
      </c>
      <c r="E5" s="9" t="s">
        <v>15</v>
      </c>
      <c r="F5" s="9" t="s">
        <v>16</v>
      </c>
      <c r="G5" s="9" t="s">
        <v>17</v>
      </c>
      <c r="H5" s="9" t="s">
        <v>18</v>
      </c>
      <c r="I5" s="10" t="s">
        <v>19</v>
      </c>
      <c r="J5" s="1"/>
    </row>
    <row r="6" ht="21.75" customHeight="1">
      <c r="A6" s="1"/>
      <c r="B6" s="1"/>
      <c r="C6" s="13">
        <f>COUNTA(Film!A:A)-1</f>
        <v>65</v>
      </c>
      <c r="D6" s="13">
        <f>COUNTA(Dizi!A:A)-1</f>
        <v>38</v>
      </c>
      <c r="E6" s="13">
        <f>COUNTA(Anime!A:A)-1</f>
        <v>44</v>
      </c>
      <c r="F6" s="13">
        <f>COUNTA(Oyun!A:A)-1</f>
        <v>3</v>
      </c>
      <c r="G6" s="13">
        <f>COUNTA(Kitap!A:A)-1</f>
        <v>1</v>
      </c>
      <c r="H6" s="13">
        <f>COUNTA(Manga!A:A)-1</f>
        <v>2</v>
      </c>
      <c r="I6" s="13">
        <f>COUNTA(Eski!A:A)-1</f>
        <v>135</v>
      </c>
      <c r="J6" s="1"/>
    </row>
    <row r="7" ht="21.75" customHeight="1">
      <c r="A7" s="1"/>
      <c r="B7" s="1"/>
      <c r="C7" s="22">
        <f>IFERROR(ROUND(AVERAGE(Film!C2:C10001),1),"—")</f>
        <v>7.8</v>
      </c>
      <c r="D7" s="22">
        <f>IFERROR(ROUND(AVERAGE(Dizi!D2:D10000),1),"—")</f>
        <v>8.6</v>
      </c>
      <c r="E7" s="22">
        <f>IFERROR(ROUND(AVERAGE(Anime!D2:D10000),1),"—")</f>
        <v>8.6</v>
      </c>
      <c r="F7" s="22">
        <f>IFERROR(ROUND(AVERAGE(Oyun!C2:C10000),1),"—")</f>
        <v>8.5</v>
      </c>
      <c r="G7" s="22" t="str">
        <f>IFERROR(ROUND(AVERAGE(Kitap!D2:D10000),1),"—")</f>
        <v>—</v>
      </c>
      <c r="H7" s="22" t="str">
        <f>IFERROR(ROUND(AVERAGE(Manga!D2:D10000),1),"—")</f>
        <v>—</v>
      </c>
      <c r="I7" s="22" t="s">
        <v>31</v>
      </c>
      <c r="J7" s="1"/>
    </row>
    <row r="8" ht="21.75" customHeight="1">
      <c r="A8" s="1"/>
      <c r="B8" s="1"/>
      <c r="C8" s="28" t="s">
        <v>32</v>
      </c>
      <c r="D8" s="28" t="s">
        <v>32</v>
      </c>
      <c r="E8" s="28" t="s">
        <v>32</v>
      </c>
      <c r="F8" s="28" t="s">
        <v>32</v>
      </c>
      <c r="G8" s="28" t="s">
        <v>32</v>
      </c>
      <c r="H8" s="28" t="s">
        <v>32</v>
      </c>
      <c r="I8" s="28" t="s">
        <v>32</v>
      </c>
      <c r="J8" s="1"/>
    </row>
    <row r="9" ht="21.75" customHeight="1">
      <c r="A9" s="1"/>
      <c r="B9" s="1"/>
      <c r="C9" s="1"/>
      <c r="D9" s="1"/>
      <c r="E9" s="1"/>
      <c r="F9" s="1"/>
      <c r="G9" s="1"/>
      <c r="H9" s="1"/>
      <c r="I9" s="1"/>
      <c r="J9" s="1"/>
    </row>
    <row r="10" ht="21.75" customHeight="1">
      <c r="A10" s="1"/>
      <c r="B10" s="1"/>
      <c r="C10" s="29" t="s">
        <v>50</v>
      </c>
      <c r="D10" s="30"/>
      <c r="E10" s="30"/>
      <c r="F10" s="1"/>
      <c r="G10" s="29" t="s">
        <v>53</v>
      </c>
      <c r="H10" s="30"/>
      <c r="I10" s="30"/>
      <c r="J10" s="1"/>
    </row>
    <row r="11" ht="21.75" customHeight="1">
      <c r="A11" s="1"/>
      <c r="B11" s="1"/>
      <c r="C11" s="31" t="s">
        <v>55</v>
      </c>
      <c r="D11" s="40" t="str">
        <f t="array" ref="D11">IFERROR(INDEX(Film!B:B,MATCH(LARGE(Film!C:C,1),Film!C:C,0)),"—")</f>
        <v>Shutter Island (Rewatch)</v>
      </c>
      <c r="E11" s="41">
        <f>IFERROR(LARGE(Film!C:C,1),"—")</f>
        <v>10</v>
      </c>
      <c r="F11" s="1"/>
      <c r="G11" s="31" t="s">
        <v>55</v>
      </c>
      <c r="H11" s="40" t="str">
        <f t="array" ref="H11">IFERROR(INDEX(Anime!B:B,MATCH(LARGE(Anime!D:D,1),Anime!D:D,0)),"—")</f>
        <v>Code Geass (Rewatch)</v>
      </c>
      <c r="I11" s="41">
        <f>IFERROR(LARGE(Anime!D:D,1),"—")</f>
        <v>9.5</v>
      </c>
      <c r="J11" s="1"/>
    </row>
    <row r="12" ht="21.75" customHeight="1">
      <c r="A12" s="1"/>
      <c r="B12" s="1"/>
      <c r="C12" s="47" t="s">
        <v>124</v>
      </c>
      <c r="D12" s="49" t="str">
        <f t="array" ref="D12">IFERROR(INDEX(Film!B:B,MATCH(LARGE(Film!C:C,2),Film!C:C,0)),"—")</f>
        <v>Shutter Island</v>
      </c>
      <c r="E12" s="50">
        <f>IFERROR(LARGE(Film!C:C,2),"—")</f>
        <v>9.9</v>
      </c>
      <c r="F12" s="1"/>
      <c r="G12" s="47" t="s">
        <v>124</v>
      </c>
      <c r="H12" s="49" t="str">
        <f t="array" ref="H12">IFERROR(INDEX(Anime!B:B,MATCH(LARGE(Anime!D:D,2),Anime!D:D,0)),"—")</f>
        <v>Code Geass</v>
      </c>
      <c r="I12" s="50">
        <f>IFERROR(LARGE(Anime!D:D,2),"—")</f>
        <v>9.3</v>
      </c>
      <c r="J12" s="1"/>
    </row>
    <row r="13" ht="21.75" customHeight="1">
      <c r="A13" s="1"/>
      <c r="B13" s="1"/>
      <c r="C13" s="31" t="s">
        <v>160</v>
      </c>
      <c r="D13" s="40" t="str">
        <f t="array" ref="D13">IFERROR(INDEX(Film!B:B,MATCH(LARGE(Film!C:C,3),Film!C:C,0)),"—")</f>
        <v>The Dark Knight (Rewatch)</v>
      </c>
      <c r="E13" s="41">
        <f>IFERROR(LARGE(Film!C:C,3),"—")</f>
        <v>9.8</v>
      </c>
      <c r="F13" s="1"/>
      <c r="G13" s="31" t="s">
        <v>160</v>
      </c>
      <c r="H13" s="40" t="str">
        <f t="array" ref="H13">IFERROR(INDEX(Anime!B:B,MATCH(LARGE(Anime!D:D,3),Anime!D:D,0)),"—")</f>
        <v>Demon Slayer</v>
      </c>
      <c r="I13" s="41">
        <f>IFERROR(LARGE(Anime!D:D,3),"—")</f>
        <v>9.2</v>
      </c>
      <c r="J13" s="1"/>
    </row>
    <row r="14" ht="21.75" customHeight="1">
      <c r="A14" s="1"/>
      <c r="B14" s="1"/>
      <c r="C14" s="47" t="s">
        <v>181</v>
      </c>
      <c r="D14" s="49" t="str">
        <f t="array" ref="D14">IFERROR(INDEX(Film!B:B,MATCH(LARGE(Film!C:C,4),Film!C:C,0)),"—")</f>
        <v>Se7en</v>
      </c>
      <c r="E14" s="50">
        <f>IFERROR(LARGE(Film!C:C,4),"—")</f>
        <v>9.5</v>
      </c>
      <c r="F14" s="1"/>
      <c r="G14" s="47" t="s">
        <v>181</v>
      </c>
      <c r="H14" s="49" t="str">
        <f t="array" ref="H14">IFERROR(INDEX(Anime!B:B,MATCH(LARGE(Anime!D:D,4),Anime!D:D,0)),"—")</f>
        <v>Demon Slayer</v>
      </c>
      <c r="I14" s="50">
        <f>IFERROR(LARGE(Anime!D:D,4),"—")</f>
        <v>9.2</v>
      </c>
      <c r="J14" s="1"/>
    </row>
    <row r="15" ht="21.75" customHeight="1">
      <c r="A15" s="1"/>
      <c r="B15" s="1"/>
      <c r="C15" s="31" t="s">
        <v>200</v>
      </c>
      <c r="D15" s="40" t="str">
        <f t="array" ref="D15">IFERROR(INDEX(Film!B:B,MATCH(LARGE(Film!C:C,5),Film!C:C,0)),"—")</f>
        <v>Memento</v>
      </c>
      <c r="E15" s="41">
        <f>IFERROR(LARGE(Film!C:C,5),"—")</f>
        <v>9.3</v>
      </c>
      <c r="F15" s="1"/>
      <c r="G15" s="31" t="s">
        <v>200</v>
      </c>
      <c r="H15" s="40" t="str">
        <f t="array" ref="H15">IFERROR(INDEX(Anime!B:B,MATCH(LARGE(Anime!D:D,5),Anime!D:D,0)),"—")</f>
        <v>Demon Slayer</v>
      </c>
      <c r="I15" s="41">
        <f>IFERROR(LARGE(Anime!D:D,5),"—")</f>
        <v>9.2</v>
      </c>
      <c r="J15" s="1"/>
    </row>
    <row r="16" ht="21.75" customHeight="1">
      <c r="A16" s="1"/>
      <c r="B16" s="1"/>
      <c r="C16" s="1"/>
      <c r="D16" s="1"/>
      <c r="E16" s="1"/>
      <c r="F16" s="1"/>
      <c r="G16" s="1"/>
      <c r="H16" s="1"/>
      <c r="I16" s="1"/>
      <c r="J16" s="1"/>
    </row>
    <row r="17" ht="21.75" customHeight="1">
      <c r="A17" s="1"/>
      <c r="B17" s="1"/>
      <c r="C17" s="29" t="s">
        <v>201</v>
      </c>
      <c r="D17" s="30"/>
      <c r="E17" s="30"/>
      <c r="F17" s="1"/>
      <c r="G17" s="29" t="s">
        <v>202</v>
      </c>
      <c r="H17" s="30"/>
      <c r="I17" s="30"/>
      <c r="J17" s="1"/>
    </row>
    <row r="18" ht="21.75" customHeight="1">
      <c r="A18" s="1"/>
      <c r="B18" s="1"/>
      <c r="C18" s="31" t="s">
        <v>55</v>
      </c>
      <c r="D18" s="40" t="str">
        <f t="array" ref="D18">IFERROR(INDEX(Dizi!B:B,MATCH(LARGE(Dizi!D:D,1),Dizi!D:D,0)),"—")</f>
        <v>Game Of Thrones</v>
      </c>
      <c r="E18" s="41">
        <f>IFERROR(LARGE(Dizi!D:D,1),"—")</f>
        <v>9.7</v>
      </c>
      <c r="F18" s="1"/>
      <c r="G18" s="31" t="s">
        <v>55</v>
      </c>
      <c r="H18" s="40" t="str">
        <f t="array" ref="H18">IFERROR(INDEX(Oyun!B:B,MATCH(LARGE(Oyun!C:C,1),Oyun!C:C,0)),"—")</f>
        <v>Dispatch</v>
      </c>
      <c r="I18" s="41">
        <f>IFERROR(LARGE(Oyun!C:C,1),"—")</f>
        <v>9</v>
      </c>
      <c r="J18" s="1"/>
    </row>
    <row r="19" ht="21.75" customHeight="1">
      <c r="A19" s="1"/>
      <c r="B19" s="1"/>
      <c r="C19" s="47" t="s">
        <v>124</v>
      </c>
      <c r="D19" s="49" t="str">
        <f t="array" ref="D19">IFERROR(INDEX(Dizi!B:B,MATCH(LARGE(Dizi!D:D,2),Dizi!D:D,0)),"—")</f>
        <v>Game of Thrones</v>
      </c>
      <c r="E19" s="50">
        <f>IFERROR(LARGE(Dizi!D:D,2),"—")</f>
        <v>9.5</v>
      </c>
      <c r="F19" s="1"/>
      <c r="G19" s="47" t="s">
        <v>124</v>
      </c>
      <c r="H19" s="49" t="str">
        <f t="array" ref="H19">IFERROR(INDEX(Oyun!B:B,MATCH(LARGE(Oyun!C:C,2),Oyun!C:C,0)),"—")</f>
        <v>Pragmata</v>
      </c>
      <c r="I19" s="50">
        <f>IFERROR(LARGE(Oyun!C:C,2),"—")</f>
        <v>8.5</v>
      </c>
      <c r="J19" s="1"/>
    </row>
    <row r="20" ht="21.75" customHeight="1">
      <c r="A20" s="1"/>
      <c r="B20" s="1"/>
      <c r="C20" s="31" t="s">
        <v>160</v>
      </c>
      <c r="D20" s="40" t="str">
        <f t="array" ref="D20">IFERROR(INDEX(Dizi!B:B,MATCH(LARGE(Dizi!D:D,3),Dizi!D:D,0)),"—")</f>
        <v>Game of Thrones</v>
      </c>
      <c r="E20" s="41">
        <f>IFERROR(LARGE(Dizi!D:D,3),"—")</f>
        <v>9.5</v>
      </c>
      <c r="F20" s="1"/>
      <c r="G20" s="31" t="s">
        <v>160</v>
      </c>
      <c r="H20" s="40" t="str">
        <f t="array" ref="H20">IFERROR(INDEX(Oyun!B:B,MATCH(LARGE(Oyun!C:C,3),Oyun!C:C,0)),"—")</f>
        <v>Metro 2033 Redux</v>
      </c>
      <c r="I20" s="41">
        <f>IFERROR(LARGE(Oyun!C:C,3),"—")</f>
        <v>8</v>
      </c>
      <c r="J20" s="1"/>
    </row>
    <row r="21" ht="21.75" customHeight="1">
      <c r="A21" s="1"/>
      <c r="B21" s="1"/>
      <c r="C21" s="47" t="s">
        <v>181</v>
      </c>
      <c r="D21" s="49" t="str">
        <f t="array" ref="D21">IFERROR(INDEX(Dizi!B:B,MATCH(LARGE(Dizi!D:D,4),Dizi!D:D,0)),"—")</f>
        <v>Game of Thrones</v>
      </c>
      <c r="E21" s="50">
        <f>IFERROR(LARGE(Dizi!D:D,4),"—")</f>
        <v>9.3</v>
      </c>
      <c r="F21" s="1"/>
      <c r="G21" s="47" t="s">
        <v>181</v>
      </c>
      <c r="H21" s="49" t="str">
        <f t="array" ref="H21">IFERROR(INDEX(Oyun!B:B,MATCH(LARGE(Oyun!C:C,4),Oyun!C:C,0)),"—")</f>
        <v>—</v>
      </c>
      <c r="I21" s="50" t="str">
        <f>IFERROR(LARGE(Oyun!C:C,4),"—")</f>
        <v>—</v>
      </c>
      <c r="J21" s="1"/>
    </row>
    <row r="22" ht="21.75" customHeight="1">
      <c r="A22" s="1"/>
      <c r="B22" s="1"/>
      <c r="C22" s="31" t="s">
        <v>200</v>
      </c>
      <c r="D22" s="40" t="str">
        <f t="array" ref="D22">IFERROR(INDEX(Dizi!B:B,MATCH(LARGE(Dizi!D:D,5),Dizi!D:D,0)),"—")</f>
        <v>Game of Thrones</v>
      </c>
      <c r="E22" s="41">
        <f>IFERROR(LARGE(Dizi!D:D,5),"—")</f>
        <v>9.3</v>
      </c>
      <c r="F22" s="1"/>
      <c r="G22" s="31" t="s">
        <v>200</v>
      </c>
      <c r="H22" s="40" t="str">
        <f t="array" ref="H22">IFERROR(INDEX(Oyun!B:B,MATCH(LARGE(Oyun!C:C,5),Oyun!C:C,0)),"—")</f>
        <v>—</v>
      </c>
      <c r="I22" s="41" t="str">
        <f>IFERROR(LARGE(Oyun!C:C,5),"—")</f>
        <v>—</v>
      </c>
      <c r="J22" s="1"/>
    </row>
    <row r="23" ht="21.75" customHeight="1">
      <c r="A23" s="1"/>
      <c r="B23" s="1"/>
      <c r="C23" s="1"/>
      <c r="D23" s="1"/>
      <c r="E23" s="1"/>
      <c r="F23" s="1"/>
      <c r="G23" s="1"/>
      <c r="H23" s="1"/>
      <c r="I23" s="1"/>
      <c r="J23" s="1"/>
    </row>
    <row r="24" ht="21.75" customHeight="1">
      <c r="A24" s="1"/>
      <c r="B24" s="1"/>
      <c r="C24" s="29" t="s">
        <v>208</v>
      </c>
      <c r="D24" s="30"/>
      <c r="E24" s="30"/>
      <c r="F24" s="1"/>
      <c r="G24" s="29" t="s">
        <v>209</v>
      </c>
      <c r="H24" s="30"/>
      <c r="I24" s="30"/>
      <c r="J24" s="1"/>
    </row>
    <row r="25" ht="21.75" customHeight="1">
      <c r="A25" s="1"/>
      <c r="B25" s="1"/>
      <c r="C25" s="31" t="s">
        <v>55</v>
      </c>
      <c r="D25" s="40" t="str">
        <f t="array" ref="D25">IFERROR(INDEX(Kitap!B:B,MATCH(LARGE(Kitap!D:D,1),Kitap!D:D,0)),"—")</f>
        <v>—</v>
      </c>
      <c r="E25" s="41" t="str">
        <f>IFERROR(LARGE(Kitap!D:D,1),"—")</f>
        <v>—</v>
      </c>
      <c r="F25" s="1"/>
      <c r="G25" s="31" t="s">
        <v>55</v>
      </c>
      <c r="H25" s="40" t="str">
        <f t="array" ref="H25">IFERROR(INDEX(Manga!B:B,MATCH(LARGE(Manga!D:D,1),Manga!D:D,0)),"—")</f>
        <v>—</v>
      </c>
      <c r="I25" s="41" t="str">
        <f>IFERROR(LARGE(Manga!D:D,1),"—")</f>
        <v>—</v>
      </c>
      <c r="J25" s="1"/>
    </row>
    <row r="26" ht="21.75" customHeight="1">
      <c r="A26" s="1"/>
      <c r="B26" s="1"/>
      <c r="C26" s="47" t="s">
        <v>124</v>
      </c>
      <c r="D26" s="49" t="str">
        <f t="array" ref="D26">IFERROR(INDEX(Kitap!B:B,MATCH(LARGE(Kitap!D:D,2),Kitap!D:D,0)),"—")</f>
        <v>—</v>
      </c>
      <c r="E26" s="50" t="str">
        <f>IFERROR(LARGE(Kitap!D:D,2),"—")</f>
        <v>—</v>
      </c>
      <c r="F26" s="1"/>
      <c r="G26" s="47" t="s">
        <v>124</v>
      </c>
      <c r="H26" s="49" t="str">
        <f t="array" ref="H26">IFERROR(INDEX(Manga!B:B,MATCH(LARGE(Manga!D:D,2),Manga!D:D,0)),"—")</f>
        <v>—</v>
      </c>
      <c r="I26" s="50" t="str">
        <f>IFERROR(LARGE(Manga!D:D,2),"—")</f>
        <v>—</v>
      </c>
      <c r="J26" s="1"/>
    </row>
    <row r="27" ht="21.75" customHeight="1">
      <c r="A27" s="1"/>
      <c r="B27" s="1"/>
      <c r="C27" s="31" t="s">
        <v>160</v>
      </c>
      <c r="D27" s="40" t="str">
        <f t="array" ref="D27">IFERROR(INDEX(Kitap!B:B,MATCH(LARGE(Kitap!D:D,3),Kitap!D:D,0)),"—")</f>
        <v>—</v>
      </c>
      <c r="E27" s="41" t="str">
        <f>IFERROR(LARGE(Kitap!D:D,3),"—")</f>
        <v>—</v>
      </c>
      <c r="F27" s="1"/>
      <c r="G27" s="31" t="s">
        <v>160</v>
      </c>
      <c r="H27" s="40" t="str">
        <f t="array" ref="H27">IFERROR(INDEX(Manga!B:B,MATCH(LARGE(Manga!D:D,3),Manga!D:D,0)),"—")</f>
        <v>—</v>
      </c>
      <c r="I27" s="41" t="str">
        <f>IFERROR(LARGE(Manga!D:D,3),"—")</f>
        <v>—</v>
      </c>
      <c r="J27" s="1"/>
    </row>
    <row r="28" ht="21.75" customHeight="1">
      <c r="A28" s="1"/>
      <c r="B28" s="1"/>
      <c r="C28" s="47" t="s">
        <v>181</v>
      </c>
      <c r="D28" s="49" t="str">
        <f t="array" ref="D28">IFERROR(INDEX(Kitap!B:B,MATCH(LARGE(Kitap!D:D,4),Kitap!D:D,0)),"—")</f>
        <v>—</v>
      </c>
      <c r="E28" s="50" t="str">
        <f>IFERROR(LARGE(Kitap!D:D,4),"—")</f>
        <v>—</v>
      </c>
      <c r="F28" s="1"/>
      <c r="G28" s="47" t="s">
        <v>181</v>
      </c>
      <c r="H28" s="49" t="str">
        <f t="array" ref="H28">IFERROR(INDEX(Manga!B:B,MATCH(LARGE(Manga!D:D,4),Manga!D:D,0)),"—")</f>
        <v>—</v>
      </c>
      <c r="I28" s="50" t="str">
        <f>IFERROR(LARGE(Manga!D:D,4),"—")</f>
        <v>—</v>
      </c>
      <c r="J28" s="1"/>
    </row>
    <row r="29" ht="21.75" customHeight="1">
      <c r="A29" s="1"/>
      <c r="B29" s="1"/>
      <c r="C29" s="31" t="s">
        <v>200</v>
      </c>
      <c r="D29" s="40" t="str">
        <f t="array" ref="D29">IFERROR(INDEX(Kitap!B:B,MATCH(LARGE(Kitap!D:D,5),Kitap!D:D,0)),"—")</f>
        <v>—</v>
      </c>
      <c r="E29" s="41" t="str">
        <f>IFERROR(LARGE(Kitap!D:D,5),"—")</f>
        <v>—</v>
      </c>
      <c r="F29" s="1"/>
      <c r="G29" s="31" t="s">
        <v>200</v>
      </c>
      <c r="H29" s="40" t="str">
        <f t="array" ref="H29">IFERROR(INDEX(Manga!B:B,MATCH(LARGE(Manga!D:D,5),Manga!D:D,0)),"—")</f>
        <v>—</v>
      </c>
      <c r="I29" s="41" t="str">
        <f>IFERROR(LARGE(Manga!D:D,5),"—")</f>
        <v>—</v>
      </c>
      <c r="J29" s="1"/>
    </row>
    <row r="30" ht="21.75" customHeight="1">
      <c r="A30" s="1"/>
      <c r="B30" s="1"/>
      <c r="C30" s="1"/>
      <c r="D30" s="1"/>
      <c r="E30" s="1"/>
      <c r="F30" s="1"/>
      <c r="G30" s="1"/>
      <c r="H30" s="1"/>
      <c r="I30" s="1"/>
      <c r="J30" s="1"/>
    </row>
    <row r="31" ht="21.75" customHeight="1">
      <c r="A31" s="1"/>
      <c r="B31" s="1"/>
      <c r="C31" s="7" t="s">
        <v>210</v>
      </c>
      <c r="D31" s="7"/>
      <c r="E31" s="1"/>
      <c r="F31" s="1"/>
      <c r="G31" s="1"/>
      <c r="H31" s="1"/>
      <c r="I31" s="1"/>
      <c r="J31" s="1"/>
    </row>
    <row r="32" ht="21.75" customHeight="1">
      <c r="A32" s="1"/>
      <c r="B32" s="1"/>
      <c r="C32" s="40" t="s">
        <v>58</v>
      </c>
      <c r="D32" s="41">
        <f>IFERROR(ROUND(AVERAGE(Film!C2:C10001),2),0)</f>
        <v>7.8</v>
      </c>
      <c r="E32" s="1"/>
      <c r="F32" s="1"/>
      <c r="G32" s="1"/>
      <c r="H32" s="1"/>
      <c r="I32" s="1"/>
      <c r="J32" s="1"/>
    </row>
    <row r="33" ht="21.75" customHeight="1">
      <c r="A33" s="1"/>
      <c r="B33" s="1"/>
      <c r="C33" s="49" t="s">
        <v>212</v>
      </c>
      <c r="D33" s="50">
        <f>IFERROR(ROUND(AVERAGE(Dizi!D2:D10000),2),0)</f>
        <v>8.56</v>
      </c>
      <c r="E33" s="66"/>
      <c r="F33" s="66"/>
      <c r="G33" s="1"/>
      <c r="H33" s="1"/>
      <c r="I33" s="1"/>
      <c r="J33" s="1"/>
    </row>
    <row r="34" ht="21.75" customHeight="1">
      <c r="A34" s="1"/>
      <c r="B34" s="1"/>
      <c r="C34" s="40" t="s">
        <v>214</v>
      </c>
      <c r="D34" s="41">
        <f>IFERROR(ROUND(AVERAGE(Anime!D2:D10000),2),0)</f>
        <v>8.56</v>
      </c>
      <c r="E34" s="1"/>
      <c r="F34" s="1"/>
      <c r="G34" s="1"/>
      <c r="H34" s="1"/>
      <c r="I34" s="1"/>
      <c r="J34" s="1"/>
    </row>
    <row r="35" ht="21.75" customHeight="1">
      <c r="A35" s="1"/>
      <c r="B35" s="1"/>
      <c r="C35" s="49" t="s">
        <v>215</v>
      </c>
      <c r="D35" s="50">
        <f>IFERROR(ROUND(AVERAGE(Oyun!C2:C10000),2),0)</f>
        <v>8.5</v>
      </c>
      <c r="E35" s="1"/>
      <c r="F35" s="1"/>
      <c r="G35" s="1"/>
      <c r="H35" s="1"/>
      <c r="I35" s="1"/>
      <c r="J35" s="1"/>
    </row>
    <row r="36" ht="21.75" customHeight="1">
      <c r="A36" s="1"/>
      <c r="B36" s="1"/>
      <c r="C36" s="40" t="s">
        <v>217</v>
      </c>
      <c r="D36" s="41" t="str">
        <f>IFERROR(ROUND(AVERAGE(Kitap!D2:D10000),2),"—")</f>
        <v>—</v>
      </c>
      <c r="E36" s="1"/>
      <c r="F36" s="1"/>
      <c r="G36" s="1"/>
      <c r="H36" s="1"/>
      <c r="I36" s="1"/>
      <c r="J36" s="1"/>
    </row>
    <row r="37" ht="21.75" customHeight="1">
      <c r="A37" s="1"/>
      <c r="B37" s="1"/>
      <c r="C37" s="49" t="s">
        <v>219</v>
      </c>
      <c r="D37" s="50" t="str">
        <f>IFERROR(ROUND(AVERAGE(Manga!D2:D10000),2),"—")</f>
        <v>—</v>
      </c>
      <c r="E37" s="1"/>
      <c r="F37" s="1"/>
      <c r="G37" s="1"/>
      <c r="H37" s="1"/>
      <c r="I37" s="1"/>
      <c r="J37" s="1"/>
    </row>
    <row r="38" ht="21.75" customHeight="1">
      <c r="A38" s="1"/>
      <c r="B38" s="1"/>
      <c r="C38" s="1"/>
      <c r="D38" s="1"/>
      <c r="E38" s="1"/>
      <c r="F38" s="1"/>
      <c r="G38" s="1"/>
      <c r="H38" s="1"/>
      <c r="I38" s="1"/>
      <c r="J38" s="1"/>
    </row>
    <row r="39" ht="21.75" customHeight="1">
      <c r="A39" s="67"/>
      <c r="B39" s="5"/>
      <c r="C39" s="5"/>
      <c r="D39" s="5"/>
      <c r="E39" s="5"/>
      <c r="F39" s="5"/>
      <c r="G39" s="5"/>
      <c r="H39" s="5"/>
      <c r="I39" s="5"/>
      <c r="J39" s="6"/>
    </row>
  </sheetData>
  <mergeCells count="2">
    <mergeCell ref="C2:I2"/>
    <mergeCell ref="A39:J3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9E0B"/>
    <pageSetUpPr/>
  </sheetPr>
  <sheetViews>
    <sheetView showGridLines="0" workbookViewId="0"/>
  </sheetViews>
  <sheetFormatPr customHeight="1" defaultColWidth="12.63" defaultRowHeight="15.0"/>
  <cols>
    <col customWidth="1" min="1" max="1" width="13.0"/>
    <col customWidth="1" min="2" max="2" width="38.0"/>
    <col customWidth="1" min="3" max="3" width="8.0"/>
    <col customWidth="1" min="4" max="4" width="10.0"/>
    <col customWidth="1" min="5" max="5" width="14.0"/>
    <col customWidth="1" min="6" max="6" width="10.0"/>
    <col customWidth="1" min="7" max="7" width="76.5"/>
    <col customWidth="1" min="8" max="8" width="14.0"/>
    <col customWidth="1" min="9" max="9" width="8.0"/>
  </cols>
  <sheetData>
    <row r="1">
      <c r="A1" s="2" t="s">
        <v>0</v>
      </c>
      <c r="B1" s="2" t="s">
        <v>1</v>
      </c>
      <c r="C1" s="2" t="s">
        <v>2</v>
      </c>
      <c r="D1" s="2" t="s">
        <v>3</v>
      </c>
      <c r="E1" s="2" t="s">
        <v>4</v>
      </c>
      <c r="F1" s="2" t="s">
        <v>5</v>
      </c>
      <c r="G1" s="3" t="s">
        <v>9</v>
      </c>
      <c r="H1" s="2" t="s">
        <v>10</v>
      </c>
      <c r="I1" s="11">
        <f>COUNTA(A:A)-1</f>
        <v>65</v>
      </c>
    </row>
    <row r="2">
      <c r="A2" s="12">
        <v>45685.0</v>
      </c>
      <c r="B2" s="14" t="s">
        <v>21</v>
      </c>
      <c r="C2" s="15">
        <v>7.6</v>
      </c>
      <c r="D2" s="14" t="s">
        <v>25</v>
      </c>
      <c r="E2" s="14" t="s">
        <v>26</v>
      </c>
      <c r="F2" s="14" t="s">
        <v>27</v>
      </c>
      <c r="G2" s="16"/>
      <c r="H2" s="17" t="s">
        <v>28</v>
      </c>
      <c r="I2" s="18">
        <f>IFERROR(AVERAGE(C2:C10001),0)</f>
        <v>7.795384615</v>
      </c>
    </row>
    <row r="3">
      <c r="A3" s="20">
        <v>45689.0</v>
      </c>
      <c r="B3" s="24" t="s">
        <v>30</v>
      </c>
      <c r="C3" s="26">
        <v>7.4</v>
      </c>
      <c r="D3" s="24" t="s">
        <v>25</v>
      </c>
      <c r="E3" s="24" t="s">
        <v>26</v>
      </c>
      <c r="F3" s="24" t="s">
        <v>27</v>
      </c>
      <c r="G3" s="27"/>
      <c r="H3" s="25"/>
      <c r="I3" s="25"/>
    </row>
    <row r="4">
      <c r="A4" s="12">
        <v>45691.0</v>
      </c>
      <c r="B4" s="14" t="s">
        <v>36</v>
      </c>
      <c r="C4" s="15">
        <v>7.6</v>
      </c>
      <c r="D4" s="14" t="s">
        <v>25</v>
      </c>
      <c r="E4" s="14" t="s">
        <v>26</v>
      </c>
      <c r="F4" s="14" t="s">
        <v>27</v>
      </c>
      <c r="G4" s="16"/>
      <c r="H4" s="25"/>
      <c r="I4" s="25"/>
    </row>
    <row r="5">
      <c r="A5" s="20">
        <v>45712.0</v>
      </c>
      <c r="B5" s="24" t="s">
        <v>38</v>
      </c>
      <c r="C5" s="26">
        <v>6.5</v>
      </c>
      <c r="D5" s="24" t="s">
        <v>25</v>
      </c>
      <c r="E5" s="24" t="s">
        <v>26</v>
      </c>
      <c r="F5" s="24" t="s">
        <v>27</v>
      </c>
      <c r="G5" s="27"/>
      <c r="H5" s="25"/>
      <c r="I5" s="25"/>
    </row>
    <row r="6">
      <c r="A6" s="12">
        <v>45714.0</v>
      </c>
      <c r="B6" s="14" t="s">
        <v>39</v>
      </c>
      <c r="C6" s="15">
        <v>7.2</v>
      </c>
      <c r="D6" s="14" t="s">
        <v>25</v>
      </c>
      <c r="E6" s="14" t="s">
        <v>26</v>
      </c>
      <c r="F6" s="14" t="s">
        <v>27</v>
      </c>
      <c r="G6" s="16"/>
      <c r="H6" s="25"/>
      <c r="I6" s="25"/>
    </row>
    <row r="7">
      <c r="A7" s="20">
        <v>45715.0</v>
      </c>
      <c r="B7" s="24" t="s">
        <v>42</v>
      </c>
      <c r="C7" s="26">
        <v>6.4</v>
      </c>
      <c r="D7" s="24" t="s">
        <v>25</v>
      </c>
      <c r="E7" s="24" t="s">
        <v>26</v>
      </c>
      <c r="F7" s="24" t="s">
        <v>27</v>
      </c>
      <c r="G7" s="27"/>
      <c r="H7" s="25"/>
      <c r="I7" s="25"/>
    </row>
    <row r="8">
      <c r="A8" s="12">
        <v>45718.0</v>
      </c>
      <c r="B8" s="14" t="s">
        <v>43</v>
      </c>
      <c r="C8" s="15">
        <v>7.3</v>
      </c>
      <c r="D8" s="14" t="s">
        <v>25</v>
      </c>
      <c r="E8" s="14" t="s">
        <v>45</v>
      </c>
      <c r="F8" s="14" t="s">
        <v>46</v>
      </c>
      <c r="G8" s="16"/>
      <c r="H8" s="25"/>
      <c r="I8" s="25"/>
    </row>
    <row r="9">
      <c r="A9" s="20">
        <v>45719.0</v>
      </c>
      <c r="B9" s="24" t="s">
        <v>47</v>
      </c>
      <c r="C9" s="26">
        <v>7.6</v>
      </c>
      <c r="D9" s="24" t="s">
        <v>25</v>
      </c>
      <c r="E9" s="24" t="s">
        <v>26</v>
      </c>
      <c r="F9" s="24" t="s">
        <v>27</v>
      </c>
      <c r="G9" s="27"/>
      <c r="H9" s="25"/>
      <c r="I9" s="25"/>
    </row>
    <row r="10">
      <c r="A10" s="12">
        <v>45729.0</v>
      </c>
      <c r="B10" s="14" t="s">
        <v>59</v>
      </c>
      <c r="C10" s="15">
        <v>6.6</v>
      </c>
      <c r="D10" s="14" t="s">
        <v>25</v>
      </c>
      <c r="E10" s="14" t="s">
        <v>26</v>
      </c>
      <c r="F10" s="14" t="s">
        <v>27</v>
      </c>
      <c r="G10" s="16"/>
      <c r="H10" s="25"/>
      <c r="I10" s="25"/>
    </row>
    <row r="11">
      <c r="A11" s="20">
        <v>45731.0</v>
      </c>
      <c r="B11" s="24" t="s">
        <v>61</v>
      </c>
      <c r="C11" s="26">
        <v>7.8</v>
      </c>
      <c r="D11" s="24" t="s">
        <v>25</v>
      </c>
      <c r="E11" s="24" t="s">
        <v>26</v>
      </c>
      <c r="F11" s="24" t="s">
        <v>27</v>
      </c>
      <c r="G11" s="27"/>
      <c r="H11" s="25"/>
      <c r="I11" s="25"/>
    </row>
    <row r="12">
      <c r="A12" s="12">
        <v>45739.0</v>
      </c>
      <c r="B12" s="14" t="s">
        <v>63</v>
      </c>
      <c r="C12" s="15">
        <v>7.9</v>
      </c>
      <c r="D12" s="14" t="s">
        <v>25</v>
      </c>
      <c r="E12" s="14" t="s">
        <v>26</v>
      </c>
      <c r="F12" s="14" t="s">
        <v>27</v>
      </c>
      <c r="G12" s="16"/>
      <c r="H12" s="25"/>
      <c r="I12" s="25"/>
    </row>
    <row r="13">
      <c r="A13" s="20">
        <v>45768.0</v>
      </c>
      <c r="B13" s="24" t="s">
        <v>66</v>
      </c>
      <c r="C13" s="26">
        <v>8.5</v>
      </c>
      <c r="D13" s="24" t="s">
        <v>25</v>
      </c>
      <c r="E13" s="24" t="s">
        <v>26</v>
      </c>
      <c r="F13" s="24" t="s">
        <v>27</v>
      </c>
      <c r="G13" s="27"/>
      <c r="H13" s="25"/>
      <c r="I13" s="25"/>
    </row>
    <row r="14">
      <c r="A14" s="12">
        <v>45771.0</v>
      </c>
      <c r="B14" s="14" t="s">
        <v>68</v>
      </c>
      <c r="C14" s="15">
        <v>8.4</v>
      </c>
      <c r="D14" s="14" t="s">
        <v>25</v>
      </c>
      <c r="E14" s="14" t="s">
        <v>26</v>
      </c>
      <c r="F14" s="14" t="s">
        <v>27</v>
      </c>
      <c r="G14" s="16"/>
      <c r="H14" s="25"/>
      <c r="I14" s="25"/>
    </row>
    <row r="15">
      <c r="A15" s="20">
        <v>45813.0</v>
      </c>
      <c r="B15" s="24" t="s">
        <v>70</v>
      </c>
      <c r="C15" s="26">
        <v>8.0</v>
      </c>
      <c r="D15" s="24" t="s">
        <v>25</v>
      </c>
      <c r="E15" s="33" t="s">
        <v>72</v>
      </c>
      <c r="F15" s="24" t="s">
        <v>27</v>
      </c>
      <c r="G15" s="27"/>
      <c r="H15" s="25"/>
      <c r="I15" s="25"/>
    </row>
    <row r="16">
      <c r="A16" s="12">
        <v>45822.0</v>
      </c>
      <c r="B16" s="14" t="s">
        <v>75</v>
      </c>
      <c r="C16" s="15">
        <v>8.7</v>
      </c>
      <c r="D16" s="14" t="s">
        <v>25</v>
      </c>
      <c r="E16" s="14" t="s">
        <v>26</v>
      </c>
      <c r="F16" s="14" t="s">
        <v>27</v>
      </c>
      <c r="G16" s="16"/>
      <c r="H16" s="25"/>
      <c r="I16" s="25"/>
    </row>
    <row r="17">
      <c r="A17" s="20">
        <v>45839.0</v>
      </c>
      <c r="B17" s="24" t="s">
        <v>76</v>
      </c>
      <c r="C17" s="26">
        <v>9.0</v>
      </c>
      <c r="D17" s="24" t="s">
        <v>25</v>
      </c>
      <c r="E17" s="24" t="s">
        <v>26</v>
      </c>
      <c r="F17" s="24" t="s">
        <v>46</v>
      </c>
      <c r="G17" s="27"/>
      <c r="H17" s="25"/>
      <c r="I17" s="25"/>
    </row>
    <row r="18">
      <c r="A18" s="12">
        <v>45839.0</v>
      </c>
      <c r="B18" s="14" t="s">
        <v>78</v>
      </c>
      <c r="C18" s="15">
        <v>8.5</v>
      </c>
      <c r="D18" s="14" t="s">
        <v>25</v>
      </c>
      <c r="E18" s="14" t="s">
        <v>26</v>
      </c>
      <c r="F18" s="14" t="s">
        <v>46</v>
      </c>
      <c r="G18" s="16"/>
      <c r="H18" s="25"/>
      <c r="I18" s="25"/>
    </row>
    <row r="19">
      <c r="A19" s="20">
        <v>45841.0</v>
      </c>
      <c r="B19" s="24" t="s">
        <v>79</v>
      </c>
      <c r="C19" s="26">
        <v>8.0</v>
      </c>
      <c r="D19" s="24" t="s">
        <v>80</v>
      </c>
      <c r="E19" s="24" t="s">
        <v>82</v>
      </c>
      <c r="F19" s="24" t="s">
        <v>46</v>
      </c>
      <c r="G19" s="27"/>
      <c r="H19" s="25"/>
      <c r="I19" s="25"/>
    </row>
    <row r="20">
      <c r="A20" s="12">
        <v>45842.0</v>
      </c>
      <c r="B20" s="14" t="s">
        <v>83</v>
      </c>
      <c r="C20" s="15">
        <v>8.0</v>
      </c>
      <c r="D20" s="14" t="s">
        <v>25</v>
      </c>
      <c r="E20" s="14" t="s">
        <v>26</v>
      </c>
      <c r="F20" s="14" t="s">
        <v>46</v>
      </c>
      <c r="G20" s="16"/>
      <c r="H20" s="25"/>
      <c r="I20" s="25"/>
    </row>
    <row r="21">
      <c r="A21" s="20">
        <v>45888.0</v>
      </c>
      <c r="B21" s="24" t="s">
        <v>85</v>
      </c>
      <c r="C21" s="26">
        <v>8.0</v>
      </c>
      <c r="D21" s="24" t="s">
        <v>25</v>
      </c>
      <c r="E21" s="24" t="s">
        <v>26</v>
      </c>
      <c r="F21" s="24" t="s">
        <v>46</v>
      </c>
      <c r="G21" s="27"/>
      <c r="H21" s="25"/>
      <c r="I21" s="25"/>
    </row>
    <row r="22">
      <c r="A22" s="12">
        <v>45890.0</v>
      </c>
      <c r="B22" s="14" t="s">
        <v>89</v>
      </c>
      <c r="C22" s="15">
        <v>9.5</v>
      </c>
      <c r="D22" s="14" t="s">
        <v>25</v>
      </c>
      <c r="E22" s="14" t="s">
        <v>26</v>
      </c>
      <c r="F22" s="14" t="s">
        <v>27</v>
      </c>
      <c r="G22" s="16"/>
      <c r="H22" s="25"/>
      <c r="I22" s="25"/>
    </row>
    <row r="23">
      <c r="A23" s="20">
        <v>45892.0</v>
      </c>
      <c r="B23" s="24" t="s">
        <v>91</v>
      </c>
      <c r="C23" s="26">
        <v>7.2</v>
      </c>
      <c r="D23" s="24" t="s">
        <v>25</v>
      </c>
      <c r="E23" s="24" t="s">
        <v>26</v>
      </c>
      <c r="F23" s="24" t="s">
        <v>27</v>
      </c>
      <c r="G23" s="27"/>
      <c r="H23" s="25"/>
      <c r="I23" s="25"/>
    </row>
    <row r="24">
      <c r="A24" s="12">
        <v>45907.0</v>
      </c>
      <c r="B24" s="14" t="s">
        <v>92</v>
      </c>
      <c r="C24" s="15">
        <v>9.8</v>
      </c>
      <c r="D24" s="14" t="s">
        <v>80</v>
      </c>
      <c r="E24" s="14" t="s">
        <v>93</v>
      </c>
      <c r="F24" s="14" t="s">
        <v>27</v>
      </c>
      <c r="G24" s="16"/>
      <c r="H24" s="25"/>
      <c r="I24" s="25"/>
    </row>
    <row r="25">
      <c r="A25" s="20">
        <v>45929.0</v>
      </c>
      <c r="B25" s="24" t="s">
        <v>95</v>
      </c>
      <c r="C25" s="26">
        <v>6.5</v>
      </c>
      <c r="D25" s="24" t="s">
        <v>80</v>
      </c>
      <c r="E25" s="24" t="s">
        <v>96</v>
      </c>
      <c r="F25" s="24" t="s">
        <v>27</v>
      </c>
      <c r="G25" s="27"/>
      <c r="H25" s="25"/>
      <c r="I25" s="25"/>
    </row>
    <row r="26">
      <c r="A26" s="12">
        <v>45938.0</v>
      </c>
      <c r="B26" s="14" t="s">
        <v>97</v>
      </c>
      <c r="C26" s="15">
        <v>7.5</v>
      </c>
      <c r="D26" s="14" t="s">
        <v>25</v>
      </c>
      <c r="E26" s="14" t="s">
        <v>26</v>
      </c>
      <c r="F26" s="14" t="s">
        <v>27</v>
      </c>
      <c r="G26" s="16"/>
      <c r="H26" s="25"/>
      <c r="I26" s="25"/>
    </row>
    <row r="27">
      <c r="A27" s="20">
        <v>45941.0</v>
      </c>
      <c r="B27" s="24" t="s">
        <v>98</v>
      </c>
      <c r="C27" s="26">
        <v>7.0</v>
      </c>
      <c r="D27" s="24" t="s">
        <v>25</v>
      </c>
      <c r="E27" s="24" t="s">
        <v>26</v>
      </c>
      <c r="F27" s="24" t="s">
        <v>27</v>
      </c>
      <c r="G27" s="27"/>
      <c r="H27" s="25"/>
      <c r="I27" s="25"/>
    </row>
    <row r="28">
      <c r="A28" s="12">
        <v>45959.0</v>
      </c>
      <c r="B28" s="14" t="s">
        <v>100</v>
      </c>
      <c r="C28" s="15">
        <v>8.0</v>
      </c>
      <c r="D28" s="14" t="s">
        <v>25</v>
      </c>
      <c r="E28" s="14" t="s">
        <v>26</v>
      </c>
      <c r="F28" s="14" t="s">
        <v>46</v>
      </c>
      <c r="G28" s="16"/>
      <c r="H28" s="25"/>
      <c r="I28" s="25"/>
    </row>
    <row r="29">
      <c r="A29" s="20">
        <v>45982.0</v>
      </c>
      <c r="B29" s="24" t="s">
        <v>102</v>
      </c>
      <c r="C29" s="34">
        <v>7.8</v>
      </c>
      <c r="D29" s="24" t="s">
        <v>25</v>
      </c>
      <c r="E29" s="24" t="s">
        <v>26</v>
      </c>
      <c r="F29" s="24" t="s">
        <v>27</v>
      </c>
      <c r="G29" s="27"/>
      <c r="H29" s="25"/>
      <c r="I29" s="25"/>
    </row>
    <row r="30">
      <c r="A30" s="12">
        <v>45990.0</v>
      </c>
      <c r="B30" s="14" t="s">
        <v>103</v>
      </c>
      <c r="C30" s="15">
        <v>6.5</v>
      </c>
      <c r="D30" s="14" t="s">
        <v>80</v>
      </c>
      <c r="E30" s="14" t="s">
        <v>96</v>
      </c>
      <c r="F30" s="14" t="s">
        <v>27</v>
      </c>
      <c r="G30" s="16"/>
      <c r="H30" s="25"/>
      <c r="I30" s="25"/>
    </row>
    <row r="31">
      <c r="A31" s="20">
        <v>45999.0</v>
      </c>
      <c r="B31" s="24" t="s">
        <v>104</v>
      </c>
      <c r="C31" s="26">
        <v>7.0</v>
      </c>
      <c r="D31" s="24" t="s">
        <v>25</v>
      </c>
      <c r="E31" s="24" t="s">
        <v>26</v>
      </c>
      <c r="F31" s="24" t="s">
        <v>27</v>
      </c>
      <c r="G31" s="27"/>
      <c r="H31" s="25"/>
      <c r="I31" s="25"/>
    </row>
    <row r="32">
      <c r="A32" s="12">
        <v>46001.0</v>
      </c>
      <c r="B32" s="14" t="s">
        <v>105</v>
      </c>
      <c r="C32" s="15">
        <v>5.5</v>
      </c>
      <c r="D32" s="14" t="s">
        <v>25</v>
      </c>
      <c r="E32" s="14" t="s">
        <v>26</v>
      </c>
      <c r="F32" s="14" t="s">
        <v>27</v>
      </c>
      <c r="G32" s="16"/>
      <c r="H32" s="25"/>
      <c r="I32" s="25"/>
    </row>
    <row r="33">
      <c r="A33" s="20">
        <v>46087.0</v>
      </c>
      <c r="B33" s="24" t="s">
        <v>107</v>
      </c>
      <c r="C33" s="26">
        <v>7.4</v>
      </c>
      <c r="D33" s="24" t="s">
        <v>25</v>
      </c>
      <c r="E33" s="24" t="s">
        <v>108</v>
      </c>
      <c r="F33" s="24" t="s">
        <v>27</v>
      </c>
      <c r="G33" s="27"/>
      <c r="H33" s="25"/>
      <c r="I33" s="25"/>
    </row>
    <row r="34">
      <c r="A34" s="12">
        <v>46088.0</v>
      </c>
      <c r="B34" s="14" t="s">
        <v>109</v>
      </c>
      <c r="C34" s="15">
        <v>8.5</v>
      </c>
      <c r="D34" s="14" t="s">
        <v>25</v>
      </c>
      <c r="E34" s="14" t="s">
        <v>108</v>
      </c>
      <c r="F34" s="14" t="s">
        <v>27</v>
      </c>
      <c r="G34" s="16" t="s">
        <v>111</v>
      </c>
      <c r="H34" s="25"/>
      <c r="I34" s="25"/>
    </row>
    <row r="35">
      <c r="A35" s="20">
        <v>46102.0</v>
      </c>
      <c r="B35" s="24" t="s">
        <v>112</v>
      </c>
      <c r="C35" s="26">
        <v>8.5</v>
      </c>
      <c r="D35" s="24" t="s">
        <v>80</v>
      </c>
      <c r="E35" s="24" t="s">
        <v>96</v>
      </c>
      <c r="F35" s="24" t="s">
        <v>27</v>
      </c>
      <c r="G35" s="27" t="s">
        <v>113</v>
      </c>
      <c r="H35" s="25"/>
      <c r="I35" s="25"/>
    </row>
    <row r="36">
      <c r="A36" s="12">
        <v>46131.0</v>
      </c>
      <c r="B36" s="14" t="s">
        <v>114</v>
      </c>
      <c r="C36" s="15">
        <v>7.8</v>
      </c>
      <c r="D36" s="14" t="s">
        <v>25</v>
      </c>
      <c r="E36" s="36" t="s">
        <v>115</v>
      </c>
      <c r="F36" s="14" t="s">
        <v>27</v>
      </c>
      <c r="G36" s="16" t="s">
        <v>116</v>
      </c>
      <c r="H36" s="25"/>
      <c r="I36" s="25"/>
    </row>
    <row r="37">
      <c r="A37" s="20">
        <v>46138.0</v>
      </c>
      <c r="B37" s="24" t="s">
        <v>117</v>
      </c>
      <c r="C37" s="26">
        <v>8.1</v>
      </c>
      <c r="D37" s="24" t="s">
        <v>25</v>
      </c>
      <c r="E37" s="33" t="s">
        <v>118</v>
      </c>
      <c r="F37" s="24" t="s">
        <v>27</v>
      </c>
      <c r="G37" s="27" t="s">
        <v>119</v>
      </c>
      <c r="H37" s="25"/>
      <c r="I37" s="25"/>
    </row>
    <row r="38">
      <c r="A38" s="12">
        <v>46145.0</v>
      </c>
      <c r="B38" s="14" t="s">
        <v>121</v>
      </c>
      <c r="C38" s="15">
        <v>9.9</v>
      </c>
      <c r="D38" s="14" t="s">
        <v>25</v>
      </c>
      <c r="E38" s="14" t="s">
        <v>108</v>
      </c>
      <c r="F38" s="14" t="s">
        <v>27</v>
      </c>
      <c r="G38" s="16" t="s">
        <v>122</v>
      </c>
      <c r="H38" s="25"/>
      <c r="I38" s="25"/>
    </row>
    <row r="39">
      <c r="A39" s="20">
        <v>46147.0</v>
      </c>
      <c r="B39" s="24" t="s">
        <v>123</v>
      </c>
      <c r="C39" s="34">
        <v>7.7</v>
      </c>
      <c r="D39" s="24" t="s">
        <v>25</v>
      </c>
      <c r="E39" s="24" t="s">
        <v>108</v>
      </c>
      <c r="F39" s="24" t="s">
        <v>27</v>
      </c>
      <c r="G39" s="27" t="s">
        <v>126</v>
      </c>
      <c r="H39" s="25"/>
      <c r="I39" s="25"/>
    </row>
    <row r="40">
      <c r="A40" s="12">
        <v>46154.0</v>
      </c>
      <c r="B40" s="14" t="s">
        <v>127</v>
      </c>
      <c r="C40" s="15">
        <v>7.6</v>
      </c>
      <c r="D40" s="14" t="s">
        <v>25</v>
      </c>
      <c r="E40" s="14" t="s">
        <v>108</v>
      </c>
      <c r="F40" s="14" t="s">
        <v>27</v>
      </c>
      <c r="G40" s="16" t="s">
        <v>128</v>
      </c>
      <c r="H40" s="25"/>
      <c r="I40" s="25"/>
    </row>
    <row r="41">
      <c r="A41" s="20">
        <v>46159.0</v>
      </c>
      <c r="B41" s="24" t="s">
        <v>129</v>
      </c>
      <c r="C41" s="26">
        <v>7.2</v>
      </c>
      <c r="D41" s="24" t="s">
        <v>25</v>
      </c>
      <c r="E41" s="24" t="s">
        <v>108</v>
      </c>
      <c r="F41" s="24" t="s">
        <v>27</v>
      </c>
      <c r="G41" s="27" t="s">
        <v>131</v>
      </c>
      <c r="H41" s="25"/>
      <c r="I41" s="25"/>
    </row>
    <row r="42">
      <c r="A42" s="12">
        <v>46159.0</v>
      </c>
      <c r="B42" s="14" t="s">
        <v>133</v>
      </c>
      <c r="C42" s="15">
        <v>10.0</v>
      </c>
      <c r="D42" s="14" t="s">
        <v>25</v>
      </c>
      <c r="E42" s="36" t="s">
        <v>134</v>
      </c>
      <c r="F42" s="14" t="s">
        <v>27</v>
      </c>
      <c r="G42" s="16" t="s">
        <v>136</v>
      </c>
      <c r="H42" s="25"/>
      <c r="I42" s="25"/>
    </row>
    <row r="43">
      <c r="A43" s="20">
        <v>46163.0</v>
      </c>
      <c r="B43" s="24" t="s">
        <v>137</v>
      </c>
      <c r="C43" s="26">
        <v>8.4</v>
      </c>
      <c r="D43" s="24" t="s">
        <v>25</v>
      </c>
      <c r="E43" s="24" t="s">
        <v>108</v>
      </c>
      <c r="F43" s="24" t="s">
        <v>27</v>
      </c>
      <c r="G43" s="27" t="s">
        <v>140</v>
      </c>
      <c r="H43" s="25"/>
      <c r="I43" s="25"/>
    </row>
    <row r="44">
      <c r="A44" s="12">
        <v>46167.0</v>
      </c>
      <c r="B44" s="14" t="s">
        <v>141</v>
      </c>
      <c r="C44" s="15">
        <v>5.0</v>
      </c>
      <c r="D44" s="14" t="s">
        <v>25</v>
      </c>
      <c r="E44" s="36" t="s">
        <v>142</v>
      </c>
      <c r="F44" s="14" t="s">
        <v>27</v>
      </c>
      <c r="G44" s="16" t="s">
        <v>144</v>
      </c>
      <c r="H44" s="25"/>
      <c r="I44" s="25"/>
    </row>
    <row r="45">
      <c r="A45" s="20">
        <v>46168.0</v>
      </c>
      <c r="B45" s="24" t="s">
        <v>147</v>
      </c>
      <c r="C45" s="26">
        <v>8.0</v>
      </c>
      <c r="D45" s="24" t="s">
        <v>25</v>
      </c>
      <c r="E45" s="24" t="s">
        <v>108</v>
      </c>
      <c r="F45" s="24" t="s">
        <v>27</v>
      </c>
      <c r="G45" s="27" t="s">
        <v>148</v>
      </c>
      <c r="H45" s="25"/>
      <c r="I45" s="25"/>
    </row>
    <row r="46">
      <c r="A46" s="12">
        <v>46169.0</v>
      </c>
      <c r="B46" s="14" t="s">
        <v>149</v>
      </c>
      <c r="C46" s="15">
        <v>8.4</v>
      </c>
      <c r="D46" s="14" t="s">
        <v>25</v>
      </c>
      <c r="E46" s="14" t="s">
        <v>108</v>
      </c>
      <c r="F46" s="14" t="s">
        <v>46</v>
      </c>
      <c r="G46" s="16" t="s">
        <v>150</v>
      </c>
      <c r="H46" s="25"/>
      <c r="I46" s="25"/>
    </row>
    <row r="47">
      <c r="A47" s="20">
        <v>46173.0</v>
      </c>
      <c r="B47" s="24" t="s">
        <v>151</v>
      </c>
      <c r="C47" s="52">
        <v>7.3</v>
      </c>
      <c r="D47" s="24" t="s">
        <v>25</v>
      </c>
      <c r="E47" s="24" t="s">
        <v>108</v>
      </c>
      <c r="F47" s="24" t="s">
        <v>27</v>
      </c>
      <c r="G47" s="27" t="s">
        <v>152</v>
      </c>
      <c r="H47" s="25"/>
      <c r="I47" s="25"/>
    </row>
    <row r="48">
      <c r="A48" s="12">
        <v>46174.0</v>
      </c>
      <c r="B48" s="14" t="s">
        <v>153</v>
      </c>
      <c r="C48" s="15">
        <v>7.1</v>
      </c>
      <c r="D48" s="14" t="s">
        <v>25</v>
      </c>
      <c r="E48" s="14" t="s">
        <v>154</v>
      </c>
      <c r="F48" s="14" t="s">
        <v>27</v>
      </c>
      <c r="G48" s="16" t="s">
        <v>155</v>
      </c>
      <c r="H48" s="25"/>
      <c r="I48" s="25"/>
    </row>
    <row r="49">
      <c r="A49" s="42">
        <v>46177.0</v>
      </c>
      <c r="B49" s="33" t="s">
        <v>156</v>
      </c>
      <c r="C49" s="43">
        <v>9.3</v>
      </c>
      <c r="D49" s="33" t="s">
        <v>25</v>
      </c>
      <c r="E49" s="33" t="s">
        <v>157</v>
      </c>
      <c r="F49" s="33" t="s">
        <v>27</v>
      </c>
      <c r="G49" s="44" t="s">
        <v>158</v>
      </c>
      <c r="H49" s="25"/>
      <c r="I49" s="25"/>
    </row>
    <row r="50">
      <c r="A50" s="45">
        <v>46180.0</v>
      </c>
      <c r="B50" s="36" t="s">
        <v>159</v>
      </c>
      <c r="C50" s="46">
        <v>8.3</v>
      </c>
      <c r="D50" s="36" t="s">
        <v>25</v>
      </c>
      <c r="E50" s="36" t="s">
        <v>108</v>
      </c>
      <c r="F50" s="36" t="s">
        <v>46</v>
      </c>
      <c r="G50" s="48" t="s">
        <v>161</v>
      </c>
      <c r="H50" s="25"/>
      <c r="I50" s="25"/>
    </row>
    <row r="51">
      <c r="A51" s="42">
        <v>46185.0</v>
      </c>
      <c r="B51" s="33" t="s">
        <v>162</v>
      </c>
      <c r="C51" s="43">
        <v>7.7</v>
      </c>
      <c r="D51" s="33" t="s">
        <v>25</v>
      </c>
      <c r="E51" s="33" t="s">
        <v>108</v>
      </c>
      <c r="F51" s="33" t="s">
        <v>27</v>
      </c>
      <c r="G51" s="44" t="s">
        <v>163</v>
      </c>
      <c r="H51" s="25"/>
      <c r="I51" s="25"/>
    </row>
    <row r="52">
      <c r="A52" s="45">
        <v>46186.0</v>
      </c>
      <c r="B52" s="36" t="s">
        <v>164</v>
      </c>
      <c r="C52" s="46">
        <v>8.2</v>
      </c>
      <c r="D52" s="36" t="s">
        <v>25</v>
      </c>
      <c r="E52" s="36" t="s">
        <v>108</v>
      </c>
      <c r="F52" s="36" t="s">
        <v>27</v>
      </c>
      <c r="G52" s="48" t="s">
        <v>165</v>
      </c>
      <c r="H52" s="25"/>
      <c r="I52" s="25"/>
    </row>
    <row r="53">
      <c r="A53" s="42">
        <v>46193.0</v>
      </c>
      <c r="B53" s="33" t="s">
        <v>166</v>
      </c>
      <c r="C53" s="43">
        <v>7.2</v>
      </c>
      <c r="D53" s="33" t="s">
        <v>25</v>
      </c>
      <c r="E53" s="33" t="s">
        <v>108</v>
      </c>
      <c r="F53" s="33" t="s">
        <v>27</v>
      </c>
      <c r="G53" s="44" t="s">
        <v>167</v>
      </c>
      <c r="H53" s="25"/>
      <c r="I53" s="25"/>
    </row>
    <row r="54">
      <c r="A54" s="45">
        <v>46196.0</v>
      </c>
      <c r="B54" s="36" t="s">
        <v>168</v>
      </c>
      <c r="C54" s="46">
        <v>7.5</v>
      </c>
      <c r="D54" s="36" t="s">
        <v>25</v>
      </c>
      <c r="E54" s="36" t="s">
        <v>169</v>
      </c>
      <c r="F54" s="36" t="s">
        <v>27</v>
      </c>
      <c r="G54" s="48" t="s">
        <v>170</v>
      </c>
      <c r="H54" s="25"/>
      <c r="I54" s="25"/>
    </row>
    <row r="55">
      <c r="A55" s="55" t="s">
        <v>171</v>
      </c>
      <c r="B55" s="33" t="s">
        <v>172</v>
      </c>
      <c r="C55" s="43">
        <v>7.6</v>
      </c>
      <c r="D55" s="33" t="s">
        <v>25</v>
      </c>
      <c r="E55" s="33" t="s">
        <v>108</v>
      </c>
      <c r="F55" s="33" t="s">
        <v>27</v>
      </c>
      <c r="G55" s="44" t="s">
        <v>173</v>
      </c>
      <c r="H55" s="25"/>
      <c r="I55" s="25"/>
    </row>
    <row r="56">
      <c r="A56" s="45">
        <v>46216.0</v>
      </c>
      <c r="B56" s="36" t="s">
        <v>174</v>
      </c>
      <c r="C56" s="46">
        <v>7.3</v>
      </c>
      <c r="D56" s="36" t="s">
        <v>25</v>
      </c>
      <c r="E56" s="36" t="s">
        <v>45</v>
      </c>
      <c r="F56" s="36" t="s">
        <v>27</v>
      </c>
      <c r="G56" s="48" t="s">
        <v>175</v>
      </c>
      <c r="H56" s="25"/>
      <c r="I56" s="25"/>
    </row>
    <row r="57">
      <c r="A57" s="42">
        <v>46218.0</v>
      </c>
      <c r="B57" s="33" t="s">
        <v>176</v>
      </c>
      <c r="C57" s="43">
        <v>7.6</v>
      </c>
      <c r="D57" s="33" t="s">
        <v>80</v>
      </c>
      <c r="E57" s="33" t="s">
        <v>93</v>
      </c>
      <c r="F57" s="33" t="s">
        <v>27</v>
      </c>
      <c r="G57" s="44" t="s">
        <v>177</v>
      </c>
      <c r="H57" s="25"/>
      <c r="I57" s="25"/>
    </row>
    <row r="58">
      <c r="A58" s="45">
        <v>46230.0</v>
      </c>
      <c r="B58" s="36" t="s">
        <v>178</v>
      </c>
      <c r="C58" s="46">
        <v>7.3</v>
      </c>
      <c r="D58" s="36" t="s">
        <v>25</v>
      </c>
      <c r="E58" s="36" t="s">
        <v>108</v>
      </c>
      <c r="F58" s="36" t="s">
        <v>27</v>
      </c>
      <c r="G58" s="48" t="s">
        <v>179</v>
      </c>
      <c r="H58" s="25"/>
      <c r="I58" s="25"/>
    </row>
    <row r="59">
      <c r="A59" s="45">
        <v>46234.0</v>
      </c>
      <c r="B59" s="36" t="s">
        <v>180</v>
      </c>
      <c r="C59" s="56">
        <v>7.5</v>
      </c>
      <c r="D59" s="36" t="s">
        <v>25</v>
      </c>
      <c r="E59" s="36" t="s">
        <v>108</v>
      </c>
      <c r="F59" s="36" t="s">
        <v>27</v>
      </c>
      <c r="G59" s="48" t="s">
        <v>182</v>
      </c>
      <c r="H59" s="25"/>
      <c r="I59" s="25"/>
    </row>
    <row r="60">
      <c r="A60" s="57">
        <v>46237.0</v>
      </c>
      <c r="B60" s="58" t="s">
        <v>183</v>
      </c>
      <c r="C60" s="59">
        <v>9.0</v>
      </c>
      <c r="D60" s="58" t="s">
        <v>25</v>
      </c>
      <c r="E60" s="58" t="s">
        <v>108</v>
      </c>
      <c r="F60" s="58" t="s">
        <v>27</v>
      </c>
      <c r="G60" s="60" t="s">
        <v>184</v>
      </c>
      <c r="H60" s="25"/>
      <c r="I60" s="25"/>
    </row>
    <row r="61">
      <c r="A61" s="45">
        <v>46243.0</v>
      </c>
      <c r="B61" s="36" t="s">
        <v>185</v>
      </c>
      <c r="C61" s="46">
        <v>8.6</v>
      </c>
      <c r="D61" s="36" t="s">
        <v>186</v>
      </c>
      <c r="E61" s="36" t="s">
        <v>108</v>
      </c>
      <c r="F61" s="36" t="s">
        <v>27</v>
      </c>
      <c r="G61" s="48" t="s">
        <v>187</v>
      </c>
      <c r="H61" s="25"/>
      <c r="I61" s="25"/>
    </row>
    <row r="62">
      <c r="A62" s="42">
        <v>46245.0</v>
      </c>
      <c r="B62" s="33" t="s">
        <v>188</v>
      </c>
      <c r="C62" s="43">
        <v>7.4</v>
      </c>
      <c r="D62" s="33" t="s">
        <v>189</v>
      </c>
      <c r="E62" s="33" t="s">
        <v>108</v>
      </c>
      <c r="F62" s="33" t="s">
        <v>27</v>
      </c>
      <c r="G62" s="44" t="s">
        <v>190</v>
      </c>
      <c r="H62" s="25"/>
      <c r="I62" s="25"/>
    </row>
    <row r="63">
      <c r="A63" s="45">
        <v>46250.0</v>
      </c>
      <c r="B63" s="36" t="s">
        <v>191</v>
      </c>
      <c r="C63" s="46">
        <v>7.5</v>
      </c>
      <c r="D63" s="36" t="s">
        <v>25</v>
      </c>
      <c r="E63" s="36" t="s">
        <v>108</v>
      </c>
      <c r="F63" s="36" t="s">
        <v>46</v>
      </c>
      <c r="G63" s="48" t="s">
        <v>192</v>
      </c>
      <c r="H63" s="25"/>
      <c r="I63" s="25"/>
    </row>
    <row r="64">
      <c r="A64" s="42">
        <v>46255.0</v>
      </c>
      <c r="B64" s="33" t="s">
        <v>193</v>
      </c>
      <c r="C64" s="43">
        <v>8.4</v>
      </c>
      <c r="D64" s="33" t="s">
        <v>25</v>
      </c>
      <c r="E64" s="33" t="s">
        <v>108</v>
      </c>
      <c r="F64" s="33" t="s">
        <v>27</v>
      </c>
      <c r="G64" s="44" t="s">
        <v>194</v>
      </c>
      <c r="H64" s="25"/>
      <c r="I64" s="25"/>
    </row>
    <row r="65">
      <c r="A65" s="45">
        <v>46256.0</v>
      </c>
      <c r="B65" s="36" t="s">
        <v>195</v>
      </c>
      <c r="C65" s="46">
        <v>7.6</v>
      </c>
      <c r="D65" s="36" t="s">
        <v>25</v>
      </c>
      <c r="E65" s="36" t="s">
        <v>196</v>
      </c>
      <c r="F65" s="36" t="s">
        <v>27</v>
      </c>
      <c r="G65" s="48" t="s">
        <v>197</v>
      </c>
      <c r="H65" s="25"/>
      <c r="I65" s="25"/>
    </row>
    <row r="66">
      <c r="A66" s="42">
        <v>46258.0</v>
      </c>
      <c r="B66" s="33" t="s">
        <v>198</v>
      </c>
      <c r="C66" s="43">
        <v>8.5</v>
      </c>
      <c r="D66" s="33" t="s">
        <v>25</v>
      </c>
      <c r="E66" s="33" t="s">
        <v>108</v>
      </c>
      <c r="F66" s="33" t="s">
        <v>27</v>
      </c>
      <c r="G66" s="44" t="s">
        <v>199</v>
      </c>
      <c r="H66" s="25"/>
      <c r="I66" s="25"/>
    </row>
    <row r="67">
      <c r="A67" s="35"/>
      <c r="B67" s="14"/>
      <c r="C67" s="37"/>
      <c r="D67" s="14"/>
      <c r="E67" s="14"/>
      <c r="F67" s="14"/>
      <c r="G67" s="16"/>
      <c r="H67" s="25"/>
      <c r="I67" s="25"/>
    </row>
    <row r="68">
      <c r="A68" s="38"/>
      <c r="B68" s="24"/>
      <c r="C68" s="39"/>
      <c r="D68" s="24"/>
      <c r="E68" s="24"/>
      <c r="F68" s="24"/>
      <c r="G68" s="27"/>
      <c r="H68" s="25"/>
      <c r="I68" s="25"/>
    </row>
    <row r="69">
      <c r="A69" s="35"/>
      <c r="B69" s="14"/>
      <c r="C69" s="37"/>
      <c r="D69" s="14"/>
      <c r="E69" s="14"/>
      <c r="F69" s="14"/>
      <c r="G69" s="16"/>
      <c r="H69" s="25"/>
      <c r="I69" s="25"/>
    </row>
    <row r="70">
      <c r="A70" s="38"/>
      <c r="B70" s="24"/>
      <c r="C70" s="39"/>
      <c r="D70" s="24"/>
      <c r="E70" s="24"/>
      <c r="F70" s="24"/>
      <c r="G70" s="27"/>
      <c r="H70" s="25"/>
      <c r="I70" s="25"/>
    </row>
    <row r="71">
      <c r="A71" s="35"/>
      <c r="B71" s="14"/>
      <c r="C71" s="37"/>
      <c r="D71" s="14"/>
      <c r="E71" s="14"/>
      <c r="F71" s="14"/>
      <c r="G71" s="16"/>
      <c r="H71" s="25"/>
      <c r="I71" s="25"/>
    </row>
    <row r="72">
      <c r="A72" s="38"/>
      <c r="B72" s="24"/>
      <c r="C72" s="39"/>
      <c r="D72" s="24"/>
      <c r="E72" s="24"/>
      <c r="F72" s="24"/>
      <c r="G72" s="27"/>
      <c r="H72" s="25"/>
      <c r="I72" s="25"/>
    </row>
    <row r="73">
      <c r="A73" s="35"/>
      <c r="B73" s="14"/>
      <c r="C73" s="37"/>
      <c r="D73" s="14"/>
      <c r="E73" s="14"/>
      <c r="F73" s="14"/>
      <c r="G73" s="16"/>
      <c r="H73" s="25"/>
      <c r="I73" s="25"/>
    </row>
    <row r="74">
      <c r="A74" s="38"/>
      <c r="B74" s="24"/>
      <c r="C74" s="39"/>
      <c r="D74" s="24"/>
      <c r="E74" s="24"/>
      <c r="F74" s="24"/>
      <c r="G74" s="27"/>
      <c r="H74" s="25"/>
      <c r="I74" s="25"/>
    </row>
    <row r="75">
      <c r="A75" s="35"/>
      <c r="B75" s="14"/>
      <c r="C75" s="37"/>
      <c r="D75" s="14"/>
      <c r="E75" s="14"/>
      <c r="F75" s="14"/>
      <c r="G75" s="16"/>
      <c r="H75" s="25"/>
      <c r="I75" s="25"/>
    </row>
    <row r="76">
      <c r="A76" s="38"/>
      <c r="B76" s="24"/>
      <c r="C76" s="39"/>
      <c r="D76" s="24"/>
      <c r="E76" s="24"/>
      <c r="F76" s="24"/>
      <c r="G76" s="27"/>
      <c r="H76" s="25"/>
      <c r="I76" s="25"/>
    </row>
    <row r="77">
      <c r="A77" s="35"/>
      <c r="B77" s="14"/>
      <c r="C77" s="37"/>
      <c r="D77" s="14"/>
      <c r="E77" s="14"/>
      <c r="F77" s="14"/>
      <c r="G77" s="16"/>
      <c r="H77" s="25"/>
      <c r="I77" s="25"/>
    </row>
    <row r="78">
      <c r="A78" s="38"/>
      <c r="B78" s="24"/>
      <c r="C78" s="39"/>
      <c r="D78" s="24"/>
      <c r="E78" s="24"/>
      <c r="F78" s="24"/>
      <c r="G78" s="27"/>
      <c r="H78" s="25"/>
      <c r="I78" s="25"/>
    </row>
    <row r="79">
      <c r="A79" s="35"/>
      <c r="B79" s="14"/>
      <c r="C79" s="37"/>
      <c r="D79" s="14"/>
      <c r="E79" s="14"/>
      <c r="F79" s="14"/>
      <c r="G79" s="16"/>
      <c r="H79" s="25"/>
      <c r="I79" s="25"/>
    </row>
    <row r="80">
      <c r="A80" s="38"/>
      <c r="B80" s="24"/>
      <c r="C80" s="39"/>
      <c r="D80" s="24"/>
      <c r="E80" s="24"/>
      <c r="F80" s="24"/>
      <c r="G80" s="27"/>
      <c r="H80" s="25"/>
      <c r="I80" s="25"/>
    </row>
    <row r="81">
      <c r="A81" s="35"/>
      <c r="B81" s="14"/>
      <c r="C81" s="37"/>
      <c r="D81" s="14"/>
      <c r="E81" s="14"/>
      <c r="F81" s="14"/>
      <c r="G81" s="16"/>
      <c r="H81" s="25"/>
      <c r="I81" s="25"/>
    </row>
    <row r="82">
      <c r="A82" s="38"/>
      <c r="B82" s="24"/>
      <c r="C82" s="39"/>
      <c r="D82" s="24"/>
      <c r="E82" s="24"/>
      <c r="F82" s="24"/>
      <c r="G82" s="27"/>
      <c r="H82" s="25"/>
      <c r="I82" s="25"/>
    </row>
    <row r="83">
      <c r="A83" s="35"/>
      <c r="B83" s="14"/>
      <c r="C83" s="37"/>
      <c r="D83" s="14"/>
      <c r="E83" s="14"/>
      <c r="F83" s="14"/>
      <c r="G83" s="16"/>
      <c r="H83" s="25"/>
      <c r="I83" s="25"/>
    </row>
    <row r="84">
      <c r="A84" s="38"/>
      <c r="B84" s="24"/>
      <c r="C84" s="39"/>
      <c r="D84" s="24"/>
      <c r="E84" s="24"/>
      <c r="F84" s="24"/>
      <c r="G84" s="27"/>
      <c r="H84" s="25"/>
      <c r="I84" s="25"/>
    </row>
    <row r="85">
      <c r="A85" s="35"/>
      <c r="B85" s="14"/>
      <c r="C85" s="37"/>
      <c r="D85" s="14"/>
      <c r="E85" s="14"/>
      <c r="F85" s="14"/>
      <c r="G85" s="16"/>
      <c r="H85" s="25"/>
      <c r="I85" s="25"/>
    </row>
    <row r="86">
      <c r="A86" s="38"/>
      <c r="B86" s="24"/>
      <c r="C86" s="39"/>
      <c r="D86" s="24"/>
      <c r="E86" s="24"/>
      <c r="F86" s="24"/>
      <c r="G86" s="27"/>
      <c r="H86" s="25"/>
      <c r="I86" s="25"/>
    </row>
    <row r="87">
      <c r="A87" s="35"/>
      <c r="B87" s="14"/>
      <c r="C87" s="37"/>
      <c r="D87" s="14"/>
      <c r="E87" s="14"/>
      <c r="F87" s="14"/>
      <c r="G87" s="16"/>
      <c r="H87" s="25"/>
      <c r="I87" s="25"/>
    </row>
    <row r="88">
      <c r="A88" s="38"/>
      <c r="B88" s="24"/>
      <c r="C88" s="39"/>
      <c r="D88" s="24"/>
      <c r="E88" s="24"/>
      <c r="F88" s="24"/>
      <c r="G88" s="27"/>
      <c r="H88" s="25"/>
      <c r="I88" s="25"/>
    </row>
    <row r="89">
      <c r="A89" s="35"/>
      <c r="B89" s="14"/>
      <c r="C89" s="37"/>
      <c r="D89" s="14"/>
      <c r="E89" s="14"/>
      <c r="F89" s="14"/>
      <c r="G89" s="16"/>
      <c r="H89" s="25"/>
      <c r="I89" s="25"/>
    </row>
    <row r="90">
      <c r="A90" s="38"/>
      <c r="B90" s="24"/>
      <c r="C90" s="39"/>
      <c r="D90" s="24"/>
      <c r="E90" s="24"/>
      <c r="F90" s="24"/>
      <c r="G90" s="27"/>
      <c r="H90" s="25"/>
      <c r="I90" s="25"/>
    </row>
    <row r="91">
      <c r="A91" s="35"/>
      <c r="B91" s="14"/>
      <c r="C91" s="37"/>
      <c r="D91" s="14"/>
      <c r="E91" s="14"/>
      <c r="F91" s="14"/>
      <c r="G91" s="16"/>
      <c r="H91" s="25"/>
      <c r="I91" s="25"/>
    </row>
    <row r="92">
      <c r="A92" s="38"/>
      <c r="B92" s="24"/>
      <c r="C92" s="39"/>
      <c r="D92" s="24"/>
      <c r="E92" s="24"/>
      <c r="F92" s="24"/>
      <c r="G92" s="27"/>
      <c r="H92" s="25"/>
      <c r="I92" s="25"/>
    </row>
    <row r="93">
      <c r="A93" s="35"/>
      <c r="B93" s="14"/>
      <c r="C93" s="37"/>
      <c r="D93" s="14"/>
      <c r="E93" s="14"/>
      <c r="F93" s="14"/>
      <c r="G93" s="16"/>
      <c r="H93" s="25"/>
      <c r="I93" s="25"/>
    </row>
    <row r="94">
      <c r="A94" s="38"/>
      <c r="B94" s="24"/>
      <c r="C94" s="39"/>
      <c r="D94" s="24"/>
      <c r="E94" s="24"/>
      <c r="F94" s="24"/>
      <c r="G94" s="27"/>
      <c r="H94" s="25"/>
      <c r="I94" s="25"/>
    </row>
    <row r="95">
      <c r="A95" s="35"/>
      <c r="B95" s="14"/>
      <c r="C95" s="37"/>
      <c r="D95" s="14"/>
      <c r="E95" s="14"/>
      <c r="F95" s="14"/>
      <c r="G95" s="16"/>
      <c r="H95" s="25"/>
      <c r="I95" s="25"/>
    </row>
    <row r="96">
      <c r="A96" s="38"/>
      <c r="B96" s="24"/>
      <c r="C96" s="39"/>
      <c r="D96" s="24"/>
      <c r="E96" s="24"/>
      <c r="F96" s="24"/>
      <c r="G96" s="27"/>
      <c r="H96" s="25"/>
      <c r="I96" s="25"/>
    </row>
    <row r="97">
      <c r="A97" s="35"/>
      <c r="B97" s="14"/>
      <c r="C97" s="37"/>
      <c r="D97" s="14"/>
      <c r="E97" s="14"/>
      <c r="F97" s="14"/>
      <c r="G97" s="16"/>
      <c r="H97" s="25"/>
      <c r="I97" s="25"/>
    </row>
    <row r="98">
      <c r="A98" s="38"/>
      <c r="B98" s="24"/>
      <c r="C98" s="39"/>
      <c r="D98" s="24"/>
      <c r="E98" s="24"/>
      <c r="F98" s="24"/>
      <c r="G98" s="27"/>
      <c r="H98" s="25"/>
      <c r="I98" s="25"/>
    </row>
    <row r="99">
      <c r="A99" s="35"/>
      <c r="B99" s="14"/>
      <c r="C99" s="37"/>
      <c r="D99" s="14"/>
      <c r="E99" s="14"/>
      <c r="F99" s="14"/>
      <c r="G99" s="16"/>
      <c r="H99" s="25"/>
      <c r="I99" s="25"/>
    </row>
    <row r="100">
      <c r="A100" s="38"/>
      <c r="B100" s="24"/>
      <c r="C100" s="39"/>
      <c r="D100" s="24"/>
      <c r="E100" s="24"/>
      <c r="F100" s="24"/>
      <c r="G100" s="27"/>
      <c r="H100" s="25"/>
      <c r="I100" s="25"/>
    </row>
    <row r="101">
      <c r="A101" s="35"/>
      <c r="B101" s="14"/>
      <c r="C101" s="37"/>
      <c r="D101" s="14"/>
      <c r="E101" s="14"/>
      <c r="F101" s="14"/>
      <c r="G101" s="16"/>
      <c r="H101" s="25"/>
      <c r="I101" s="25"/>
    </row>
    <row r="102">
      <c r="A102" s="38"/>
      <c r="B102" s="24"/>
      <c r="C102" s="51"/>
      <c r="D102" s="24"/>
      <c r="E102" s="24"/>
      <c r="F102" s="24"/>
      <c r="G102" s="27"/>
      <c r="H102" s="53"/>
      <c r="I102" s="53"/>
    </row>
    <row r="103">
      <c r="A103" s="35"/>
      <c r="B103" s="14"/>
      <c r="C103" s="54"/>
      <c r="D103" s="14"/>
      <c r="E103" s="14"/>
      <c r="F103" s="14"/>
      <c r="G103" s="16"/>
      <c r="H103" s="53"/>
      <c r="I103" s="53"/>
    </row>
    <row r="104">
      <c r="A104" s="38"/>
      <c r="B104" s="24"/>
      <c r="C104" s="51"/>
      <c r="D104" s="24"/>
      <c r="E104" s="24"/>
      <c r="F104" s="24"/>
      <c r="G104" s="27"/>
      <c r="H104" s="53"/>
      <c r="I104" s="53"/>
    </row>
    <row r="105">
      <c r="A105" s="35"/>
      <c r="B105" s="14"/>
      <c r="C105" s="54"/>
      <c r="D105" s="14"/>
      <c r="E105" s="14"/>
      <c r="F105" s="14"/>
      <c r="G105" s="16"/>
      <c r="H105" s="53"/>
      <c r="I105" s="53"/>
    </row>
    <row r="106">
      <c r="A106" s="38"/>
      <c r="B106" s="24"/>
      <c r="C106" s="51"/>
      <c r="D106" s="24"/>
      <c r="E106" s="24"/>
      <c r="F106" s="24"/>
      <c r="G106" s="27"/>
      <c r="H106" s="53"/>
      <c r="I106" s="53"/>
    </row>
    <row r="107">
      <c r="A107" s="35"/>
      <c r="B107" s="14"/>
      <c r="C107" s="54"/>
      <c r="D107" s="14"/>
      <c r="E107" s="14"/>
      <c r="F107" s="14"/>
      <c r="G107" s="16"/>
      <c r="H107" s="53"/>
      <c r="I107" s="53"/>
    </row>
    <row r="108">
      <c r="A108" s="38"/>
      <c r="B108" s="24"/>
      <c r="C108" s="51"/>
      <c r="D108" s="24"/>
      <c r="E108" s="24"/>
      <c r="F108" s="24"/>
      <c r="G108" s="27"/>
      <c r="H108" s="53"/>
      <c r="I108" s="53"/>
    </row>
    <row r="109">
      <c r="A109" s="35"/>
      <c r="B109" s="14"/>
      <c r="C109" s="54"/>
      <c r="D109" s="14"/>
      <c r="E109" s="14"/>
      <c r="F109" s="14"/>
      <c r="G109" s="16"/>
      <c r="H109" s="53"/>
      <c r="I109" s="53"/>
    </row>
    <row r="110">
      <c r="A110" s="38"/>
      <c r="B110" s="24"/>
      <c r="C110" s="51"/>
      <c r="D110" s="24"/>
      <c r="E110" s="24"/>
      <c r="F110" s="24"/>
      <c r="G110" s="27"/>
      <c r="H110" s="53"/>
      <c r="I110" s="53"/>
    </row>
    <row r="111">
      <c r="A111" s="35"/>
      <c r="B111" s="14"/>
      <c r="C111" s="54"/>
      <c r="D111" s="14"/>
      <c r="E111" s="14"/>
      <c r="F111" s="14"/>
      <c r="G111" s="16"/>
      <c r="H111" s="53"/>
      <c r="I111" s="53"/>
    </row>
    <row r="112">
      <c r="A112" s="38"/>
      <c r="B112" s="24"/>
      <c r="C112" s="51"/>
      <c r="D112" s="24"/>
      <c r="E112" s="24"/>
      <c r="F112" s="24"/>
      <c r="G112" s="27"/>
      <c r="H112" s="53"/>
      <c r="I112" s="53"/>
    </row>
    <row r="113">
      <c r="A113" s="35"/>
      <c r="B113" s="14"/>
      <c r="C113" s="54"/>
      <c r="D113" s="14"/>
      <c r="E113" s="14"/>
      <c r="F113" s="14"/>
      <c r="G113" s="16"/>
      <c r="H113" s="53"/>
      <c r="I113" s="53"/>
    </row>
    <row r="114">
      <c r="A114" s="38"/>
      <c r="B114" s="24"/>
      <c r="C114" s="51"/>
      <c r="D114" s="24"/>
      <c r="E114" s="24"/>
      <c r="F114" s="24"/>
      <c r="G114" s="27"/>
      <c r="H114" s="53"/>
      <c r="I114" s="53"/>
    </row>
    <row r="115">
      <c r="A115" s="35"/>
      <c r="B115" s="14"/>
      <c r="C115" s="54"/>
      <c r="D115" s="14"/>
      <c r="E115" s="14"/>
      <c r="F115" s="14"/>
      <c r="G115" s="16"/>
      <c r="H115" s="53"/>
      <c r="I115" s="53"/>
    </row>
    <row r="116">
      <c r="A116" s="38"/>
      <c r="B116" s="24"/>
      <c r="C116" s="51"/>
      <c r="D116" s="24"/>
      <c r="E116" s="24"/>
      <c r="F116" s="24"/>
      <c r="G116" s="27"/>
      <c r="H116" s="53"/>
      <c r="I116" s="53"/>
    </row>
    <row r="117">
      <c r="A117" s="35"/>
      <c r="B117" s="14"/>
      <c r="C117" s="54"/>
      <c r="D117" s="14"/>
      <c r="E117" s="14"/>
      <c r="F117" s="14"/>
      <c r="G117" s="16"/>
      <c r="H117" s="53"/>
      <c r="I117" s="53"/>
    </row>
    <row r="118">
      <c r="A118" s="38"/>
      <c r="B118" s="24"/>
      <c r="C118" s="51"/>
      <c r="D118" s="24"/>
      <c r="E118" s="24"/>
      <c r="F118" s="24"/>
      <c r="G118" s="27"/>
      <c r="H118" s="53"/>
      <c r="I118" s="53"/>
    </row>
    <row r="119">
      <c r="A119" s="35"/>
      <c r="B119" s="14"/>
      <c r="C119" s="54"/>
      <c r="D119" s="14"/>
      <c r="E119" s="14"/>
      <c r="F119" s="14"/>
      <c r="G119" s="16"/>
      <c r="H119" s="53"/>
      <c r="I119" s="53"/>
    </row>
    <row r="120">
      <c r="A120" s="38"/>
      <c r="B120" s="24"/>
      <c r="C120" s="51"/>
      <c r="D120" s="24"/>
      <c r="E120" s="24"/>
      <c r="F120" s="24"/>
      <c r="G120" s="27"/>
      <c r="H120" s="53"/>
      <c r="I120" s="53"/>
    </row>
    <row r="121">
      <c r="A121" s="35"/>
      <c r="B121" s="14"/>
      <c r="C121" s="54"/>
      <c r="D121" s="14"/>
      <c r="E121" s="14"/>
      <c r="F121" s="14"/>
      <c r="G121" s="16"/>
      <c r="H121" s="53"/>
      <c r="I121" s="53"/>
    </row>
    <row r="122">
      <c r="A122" s="38"/>
      <c r="B122" s="24"/>
      <c r="C122" s="51"/>
      <c r="D122" s="24"/>
      <c r="E122" s="24"/>
      <c r="F122" s="24"/>
      <c r="G122" s="27"/>
      <c r="H122" s="53"/>
      <c r="I122" s="53"/>
    </row>
    <row r="123">
      <c r="A123" s="35"/>
      <c r="B123" s="14"/>
      <c r="C123" s="54"/>
      <c r="D123" s="14"/>
      <c r="E123" s="14"/>
      <c r="F123" s="14"/>
      <c r="G123" s="16"/>
      <c r="H123" s="53"/>
      <c r="I123" s="53"/>
    </row>
    <row r="124">
      <c r="A124" s="38"/>
      <c r="B124" s="24"/>
      <c r="C124" s="51"/>
      <c r="D124" s="24"/>
      <c r="E124" s="24"/>
      <c r="F124" s="24"/>
      <c r="G124" s="27"/>
      <c r="H124" s="53"/>
      <c r="I124" s="53"/>
    </row>
    <row r="125">
      <c r="A125" s="35"/>
      <c r="B125" s="14"/>
      <c r="C125" s="54"/>
      <c r="D125" s="14"/>
      <c r="E125" s="14"/>
      <c r="F125" s="14"/>
      <c r="G125" s="16"/>
      <c r="H125" s="53"/>
      <c r="I125" s="53"/>
    </row>
    <row r="126">
      <c r="A126" s="38"/>
      <c r="B126" s="24"/>
      <c r="C126" s="51"/>
      <c r="D126" s="24"/>
      <c r="E126" s="24"/>
      <c r="F126" s="24"/>
      <c r="G126" s="27"/>
      <c r="H126" s="53"/>
      <c r="I126" s="53"/>
    </row>
    <row r="127">
      <c r="A127" s="35"/>
      <c r="B127" s="14"/>
      <c r="C127" s="54"/>
      <c r="D127" s="14"/>
      <c r="E127" s="14"/>
      <c r="F127" s="14"/>
      <c r="G127" s="16"/>
      <c r="H127" s="53"/>
      <c r="I127" s="53"/>
    </row>
    <row r="128">
      <c r="A128" s="38"/>
      <c r="B128" s="24"/>
      <c r="C128" s="51"/>
      <c r="D128" s="24"/>
      <c r="E128" s="24"/>
      <c r="F128" s="24"/>
      <c r="G128" s="27"/>
      <c r="H128" s="53"/>
      <c r="I128" s="53"/>
    </row>
    <row r="129">
      <c r="A129" s="35"/>
      <c r="B129" s="14"/>
      <c r="C129" s="54"/>
      <c r="D129" s="14"/>
      <c r="E129" s="14"/>
      <c r="F129" s="14"/>
      <c r="G129" s="16"/>
      <c r="H129" s="53"/>
      <c r="I129" s="53"/>
    </row>
    <row r="130">
      <c r="A130" s="38"/>
      <c r="B130" s="24"/>
      <c r="C130" s="51"/>
      <c r="D130" s="24"/>
      <c r="E130" s="24"/>
      <c r="F130" s="24"/>
      <c r="G130" s="27"/>
      <c r="H130" s="53"/>
      <c r="I130" s="53"/>
    </row>
    <row r="131">
      <c r="A131" s="35"/>
      <c r="B131" s="14"/>
      <c r="C131" s="54"/>
      <c r="D131" s="14"/>
      <c r="E131" s="14"/>
      <c r="F131" s="14"/>
      <c r="G131" s="16"/>
      <c r="H131" s="53"/>
      <c r="I131" s="53"/>
    </row>
    <row r="132">
      <c r="A132" s="38"/>
      <c r="B132" s="24"/>
      <c r="C132" s="51"/>
      <c r="D132" s="24"/>
      <c r="E132" s="24"/>
      <c r="F132" s="24"/>
      <c r="G132" s="27"/>
      <c r="H132" s="53"/>
      <c r="I132" s="53"/>
    </row>
    <row r="133">
      <c r="A133" s="35"/>
      <c r="B133" s="14"/>
      <c r="C133" s="54"/>
      <c r="D133" s="14"/>
      <c r="E133" s="14"/>
      <c r="F133" s="14"/>
      <c r="G133" s="16"/>
      <c r="H133" s="53"/>
      <c r="I133" s="53"/>
    </row>
    <row r="134">
      <c r="A134" s="38"/>
      <c r="B134" s="24"/>
      <c r="C134" s="51"/>
      <c r="D134" s="24"/>
      <c r="E134" s="24"/>
      <c r="F134" s="24"/>
      <c r="G134" s="27"/>
      <c r="H134" s="53"/>
      <c r="I134" s="53"/>
    </row>
    <row r="135">
      <c r="A135" s="35"/>
      <c r="B135" s="14"/>
      <c r="C135" s="54"/>
      <c r="D135" s="14"/>
      <c r="E135" s="14"/>
      <c r="F135" s="14"/>
      <c r="G135" s="16"/>
      <c r="H135" s="53"/>
      <c r="I135" s="53"/>
    </row>
    <row r="136">
      <c r="A136" s="38"/>
      <c r="B136" s="24"/>
      <c r="C136" s="51"/>
      <c r="D136" s="24"/>
      <c r="E136" s="24"/>
      <c r="F136" s="24"/>
      <c r="G136" s="27"/>
      <c r="H136" s="53"/>
      <c r="I136" s="53"/>
    </row>
    <row r="137">
      <c r="A137" s="35"/>
      <c r="B137" s="14"/>
      <c r="C137" s="54"/>
      <c r="D137" s="14"/>
      <c r="E137" s="14"/>
      <c r="F137" s="14"/>
      <c r="G137" s="16"/>
      <c r="H137" s="53"/>
      <c r="I137" s="53"/>
    </row>
    <row r="138">
      <c r="A138" s="38"/>
      <c r="B138" s="24"/>
      <c r="C138" s="51"/>
      <c r="D138" s="24"/>
      <c r="E138" s="24"/>
      <c r="F138" s="24"/>
      <c r="G138" s="27"/>
      <c r="H138" s="53"/>
      <c r="I138" s="53"/>
    </row>
    <row r="139">
      <c r="A139" s="35"/>
      <c r="B139" s="14"/>
      <c r="C139" s="54"/>
      <c r="D139" s="14"/>
      <c r="E139" s="14"/>
      <c r="F139" s="14"/>
      <c r="G139" s="16"/>
      <c r="H139" s="53"/>
      <c r="I139" s="53"/>
    </row>
    <row r="140">
      <c r="A140" s="38"/>
      <c r="B140" s="24"/>
      <c r="C140" s="51"/>
      <c r="D140" s="24"/>
      <c r="E140" s="24"/>
      <c r="F140" s="24"/>
      <c r="G140" s="27"/>
      <c r="H140" s="53"/>
      <c r="I140" s="53"/>
    </row>
    <row r="141">
      <c r="A141" s="35"/>
      <c r="B141" s="14"/>
      <c r="C141" s="54"/>
      <c r="D141" s="14"/>
      <c r="E141" s="14"/>
      <c r="F141" s="14"/>
      <c r="G141" s="16"/>
      <c r="H141" s="53"/>
      <c r="I141" s="53"/>
    </row>
    <row r="142">
      <c r="A142" s="38"/>
      <c r="B142" s="24"/>
      <c r="C142" s="51"/>
      <c r="D142" s="24"/>
      <c r="E142" s="24"/>
      <c r="F142" s="24"/>
      <c r="G142" s="27"/>
      <c r="H142" s="53"/>
      <c r="I142" s="53"/>
    </row>
    <row r="143">
      <c r="A143" s="35"/>
      <c r="B143" s="14"/>
      <c r="C143" s="54"/>
      <c r="D143" s="14"/>
      <c r="E143" s="14"/>
      <c r="F143" s="14"/>
      <c r="G143" s="16"/>
      <c r="H143" s="53"/>
      <c r="I143" s="53"/>
    </row>
    <row r="144">
      <c r="A144" s="38"/>
      <c r="B144" s="24"/>
      <c r="C144" s="51"/>
      <c r="D144" s="24"/>
      <c r="E144" s="24"/>
      <c r="F144" s="24"/>
      <c r="G144" s="27"/>
      <c r="H144" s="53"/>
      <c r="I144" s="53"/>
    </row>
    <row r="145">
      <c r="A145" s="35"/>
      <c r="B145" s="14"/>
      <c r="C145" s="54"/>
      <c r="D145" s="14"/>
      <c r="E145" s="14"/>
      <c r="F145" s="14"/>
      <c r="G145" s="16"/>
      <c r="H145" s="53"/>
      <c r="I145" s="53"/>
    </row>
    <row r="146">
      <c r="A146" s="38"/>
      <c r="B146" s="24"/>
      <c r="C146" s="51"/>
      <c r="D146" s="24"/>
      <c r="E146" s="24"/>
      <c r="F146" s="24"/>
      <c r="G146" s="27"/>
      <c r="H146" s="53"/>
      <c r="I146" s="53"/>
    </row>
    <row r="147">
      <c r="A147" s="35"/>
      <c r="B147" s="14"/>
      <c r="C147" s="54"/>
      <c r="D147" s="14"/>
      <c r="E147" s="14"/>
      <c r="F147" s="14"/>
      <c r="G147" s="16"/>
      <c r="H147" s="53"/>
      <c r="I147" s="53"/>
    </row>
    <row r="148">
      <c r="A148" s="38"/>
      <c r="B148" s="24"/>
      <c r="C148" s="51"/>
      <c r="D148" s="24"/>
      <c r="E148" s="24"/>
      <c r="F148" s="24"/>
      <c r="G148" s="27"/>
      <c r="H148" s="53"/>
      <c r="I148" s="53"/>
    </row>
    <row r="149">
      <c r="A149" s="35"/>
      <c r="B149" s="14"/>
      <c r="C149" s="54"/>
      <c r="D149" s="14"/>
      <c r="E149" s="14"/>
      <c r="F149" s="14"/>
      <c r="G149" s="16"/>
      <c r="H149" s="53"/>
      <c r="I149" s="53"/>
    </row>
    <row r="150">
      <c r="A150" s="38"/>
      <c r="B150" s="24"/>
      <c r="C150" s="51"/>
      <c r="D150" s="24"/>
      <c r="E150" s="24"/>
      <c r="F150" s="24"/>
      <c r="G150" s="27"/>
      <c r="H150" s="53"/>
      <c r="I150" s="53"/>
    </row>
    <row r="151">
      <c r="A151" s="35"/>
      <c r="B151" s="14"/>
      <c r="C151" s="54"/>
      <c r="D151" s="14"/>
      <c r="E151" s="14"/>
      <c r="F151" s="14"/>
      <c r="G151" s="16"/>
      <c r="H151" s="53"/>
      <c r="I151" s="53"/>
    </row>
    <row r="152">
      <c r="A152" s="38"/>
      <c r="B152" s="24"/>
      <c r="C152" s="51"/>
      <c r="D152" s="24"/>
      <c r="E152" s="24"/>
      <c r="F152" s="24"/>
      <c r="G152" s="27"/>
      <c r="H152" s="53"/>
      <c r="I152" s="53"/>
    </row>
    <row r="153">
      <c r="A153" s="35"/>
      <c r="B153" s="14"/>
      <c r="C153" s="54"/>
      <c r="D153" s="14"/>
      <c r="E153" s="14"/>
      <c r="F153" s="14"/>
      <c r="G153" s="16"/>
      <c r="H153" s="53"/>
      <c r="I153" s="53"/>
    </row>
    <row r="154">
      <c r="A154" s="38"/>
      <c r="B154" s="24"/>
      <c r="C154" s="51"/>
      <c r="D154" s="24"/>
      <c r="E154" s="24"/>
      <c r="F154" s="24"/>
      <c r="G154" s="27"/>
      <c r="H154" s="53"/>
      <c r="I154" s="53"/>
    </row>
    <row r="155">
      <c r="A155" s="35"/>
      <c r="B155" s="14"/>
      <c r="C155" s="54"/>
      <c r="D155" s="14"/>
      <c r="E155" s="14"/>
      <c r="F155" s="14"/>
      <c r="G155" s="16"/>
      <c r="H155" s="53"/>
      <c r="I155" s="53"/>
    </row>
    <row r="156">
      <c r="A156" s="38"/>
      <c r="B156" s="24"/>
      <c r="C156" s="51"/>
      <c r="D156" s="24"/>
      <c r="E156" s="24"/>
      <c r="F156" s="24"/>
      <c r="G156" s="27"/>
      <c r="H156" s="53"/>
      <c r="I156" s="53"/>
    </row>
    <row r="157">
      <c r="A157" s="35"/>
      <c r="B157" s="14"/>
      <c r="C157" s="54"/>
      <c r="D157" s="14"/>
      <c r="E157" s="14"/>
      <c r="F157" s="14"/>
      <c r="G157" s="16"/>
      <c r="H157" s="53"/>
      <c r="I157" s="53"/>
    </row>
    <row r="158">
      <c r="A158" s="38"/>
      <c r="B158" s="24"/>
      <c r="C158" s="51"/>
      <c r="D158" s="24"/>
      <c r="E158" s="24"/>
      <c r="F158" s="24"/>
      <c r="G158" s="27"/>
      <c r="H158" s="53"/>
      <c r="I158" s="53"/>
    </row>
    <row r="159">
      <c r="A159" s="35"/>
      <c r="B159" s="14"/>
      <c r="C159" s="54"/>
      <c r="D159" s="14"/>
      <c r="E159" s="14"/>
      <c r="F159" s="14"/>
      <c r="G159" s="16"/>
      <c r="H159" s="53"/>
      <c r="I159" s="53"/>
    </row>
    <row r="160">
      <c r="A160" s="38"/>
      <c r="B160" s="24"/>
      <c r="C160" s="51"/>
      <c r="D160" s="24"/>
      <c r="E160" s="24"/>
      <c r="F160" s="24"/>
      <c r="G160" s="27"/>
      <c r="H160" s="53"/>
      <c r="I160" s="53"/>
    </row>
    <row r="161">
      <c r="A161" s="35"/>
      <c r="B161" s="14"/>
      <c r="C161" s="54"/>
      <c r="D161" s="14"/>
      <c r="E161" s="14"/>
      <c r="F161" s="14"/>
      <c r="G161" s="16"/>
      <c r="H161" s="53"/>
      <c r="I161" s="53"/>
    </row>
    <row r="162">
      <c r="A162" s="38"/>
      <c r="B162" s="24"/>
      <c r="C162" s="51"/>
      <c r="D162" s="24"/>
      <c r="E162" s="24"/>
      <c r="F162" s="24"/>
      <c r="G162" s="27"/>
      <c r="H162" s="53"/>
      <c r="I162" s="53"/>
    </row>
    <row r="163">
      <c r="A163" s="35"/>
      <c r="B163" s="14"/>
      <c r="C163" s="54"/>
      <c r="D163" s="14"/>
      <c r="E163" s="14"/>
      <c r="F163" s="14"/>
      <c r="G163" s="16"/>
      <c r="H163" s="53"/>
      <c r="I163" s="53"/>
    </row>
    <row r="164">
      <c r="A164" s="38"/>
      <c r="B164" s="24"/>
      <c r="C164" s="51"/>
      <c r="D164" s="24"/>
      <c r="E164" s="24"/>
      <c r="F164" s="24"/>
      <c r="G164" s="27"/>
      <c r="H164" s="53"/>
      <c r="I164" s="53"/>
    </row>
    <row r="165">
      <c r="A165" s="35"/>
      <c r="B165" s="14"/>
      <c r="C165" s="54"/>
      <c r="D165" s="14"/>
      <c r="E165" s="14"/>
      <c r="F165" s="14"/>
      <c r="G165" s="16"/>
      <c r="H165" s="53"/>
      <c r="I165" s="53"/>
    </row>
    <row r="166">
      <c r="A166" s="38"/>
      <c r="B166" s="24"/>
      <c r="C166" s="51"/>
      <c r="D166" s="24"/>
      <c r="E166" s="24"/>
      <c r="F166" s="24"/>
      <c r="G166" s="27"/>
      <c r="H166" s="53"/>
      <c r="I166" s="53"/>
    </row>
    <row r="167">
      <c r="A167" s="35"/>
      <c r="B167" s="14"/>
      <c r="C167" s="54"/>
      <c r="D167" s="14"/>
      <c r="E167" s="14"/>
      <c r="F167" s="14"/>
      <c r="G167" s="16"/>
      <c r="H167" s="53"/>
      <c r="I167" s="53"/>
    </row>
    <row r="168">
      <c r="A168" s="38"/>
      <c r="B168" s="24"/>
      <c r="C168" s="51"/>
      <c r="D168" s="24"/>
      <c r="E168" s="24"/>
      <c r="F168" s="24"/>
      <c r="G168" s="27"/>
      <c r="H168" s="53"/>
      <c r="I168" s="53"/>
    </row>
    <row r="169">
      <c r="A169" s="35"/>
      <c r="B169" s="14"/>
      <c r="C169" s="54"/>
      <c r="D169" s="14"/>
      <c r="E169" s="14"/>
      <c r="F169" s="14"/>
      <c r="G169" s="16"/>
      <c r="H169" s="53"/>
      <c r="I169" s="53"/>
    </row>
    <row r="170">
      <c r="A170" s="38"/>
      <c r="B170" s="24"/>
      <c r="C170" s="51"/>
      <c r="D170" s="24"/>
      <c r="E170" s="24"/>
      <c r="F170" s="24"/>
      <c r="G170" s="27"/>
      <c r="H170" s="53"/>
      <c r="I170" s="53"/>
    </row>
    <row r="171">
      <c r="A171" s="35"/>
      <c r="B171" s="14"/>
      <c r="C171" s="54"/>
      <c r="D171" s="14"/>
      <c r="E171" s="14"/>
      <c r="F171" s="14"/>
      <c r="G171" s="16"/>
      <c r="H171" s="53"/>
      <c r="I171" s="53"/>
    </row>
    <row r="172">
      <c r="A172" s="38"/>
      <c r="B172" s="24"/>
      <c r="C172" s="51"/>
      <c r="D172" s="24"/>
      <c r="E172" s="24"/>
      <c r="F172" s="24"/>
      <c r="G172" s="27"/>
      <c r="H172" s="53"/>
      <c r="I172" s="53"/>
    </row>
    <row r="173">
      <c r="A173" s="35"/>
      <c r="B173" s="14"/>
      <c r="C173" s="54"/>
      <c r="D173" s="14"/>
      <c r="E173" s="14"/>
      <c r="F173" s="14"/>
      <c r="G173" s="16"/>
      <c r="H173" s="53"/>
      <c r="I173" s="53"/>
    </row>
    <row r="174">
      <c r="A174" s="38"/>
      <c r="B174" s="24"/>
      <c r="C174" s="51"/>
      <c r="D174" s="24"/>
      <c r="E174" s="24"/>
      <c r="F174" s="24"/>
      <c r="G174" s="27"/>
      <c r="H174" s="53"/>
      <c r="I174" s="53"/>
    </row>
    <row r="175">
      <c r="A175" s="35"/>
      <c r="B175" s="14"/>
      <c r="C175" s="54"/>
      <c r="D175" s="14"/>
      <c r="E175" s="14"/>
      <c r="F175" s="14"/>
      <c r="G175" s="16"/>
      <c r="H175" s="53"/>
      <c r="I175" s="53"/>
    </row>
    <row r="176">
      <c r="A176" s="38"/>
      <c r="B176" s="24"/>
      <c r="C176" s="51"/>
      <c r="D176" s="24"/>
      <c r="E176" s="24"/>
      <c r="F176" s="24"/>
      <c r="G176" s="27"/>
      <c r="H176" s="53"/>
      <c r="I176" s="53"/>
    </row>
    <row r="177">
      <c r="A177" s="35"/>
      <c r="B177" s="14"/>
      <c r="C177" s="54"/>
      <c r="D177" s="14"/>
      <c r="E177" s="14"/>
      <c r="F177" s="14"/>
      <c r="G177" s="16"/>
      <c r="H177" s="53"/>
      <c r="I177" s="53"/>
    </row>
    <row r="178">
      <c r="A178" s="38"/>
      <c r="B178" s="24"/>
      <c r="C178" s="51"/>
      <c r="D178" s="24"/>
      <c r="E178" s="24"/>
      <c r="F178" s="24"/>
      <c r="G178" s="27"/>
      <c r="H178" s="53"/>
      <c r="I178" s="53"/>
    </row>
    <row r="179">
      <c r="A179" s="35"/>
      <c r="B179" s="14"/>
      <c r="C179" s="54"/>
      <c r="D179" s="14"/>
      <c r="E179" s="14"/>
      <c r="F179" s="14"/>
      <c r="G179" s="16"/>
      <c r="H179" s="53"/>
      <c r="I179" s="53"/>
    </row>
    <row r="180">
      <c r="A180" s="38"/>
      <c r="B180" s="24"/>
      <c r="C180" s="51"/>
      <c r="D180" s="24"/>
      <c r="E180" s="24"/>
      <c r="F180" s="24"/>
      <c r="G180" s="27"/>
      <c r="H180" s="53"/>
      <c r="I180" s="53"/>
    </row>
    <row r="181">
      <c r="A181" s="35"/>
      <c r="B181" s="14"/>
      <c r="C181" s="54"/>
      <c r="D181" s="14"/>
      <c r="E181" s="14"/>
      <c r="F181" s="14"/>
      <c r="G181" s="16"/>
      <c r="H181" s="53"/>
      <c r="I181" s="53"/>
    </row>
    <row r="182">
      <c r="A182" s="38"/>
      <c r="B182" s="24"/>
      <c r="C182" s="51"/>
      <c r="D182" s="24"/>
      <c r="E182" s="24"/>
      <c r="F182" s="24"/>
      <c r="G182" s="27"/>
      <c r="H182" s="53"/>
      <c r="I182" s="53"/>
    </row>
    <row r="183">
      <c r="A183" s="35"/>
      <c r="B183" s="14"/>
      <c r="C183" s="54"/>
      <c r="D183" s="14"/>
      <c r="E183" s="14"/>
      <c r="F183" s="14"/>
      <c r="G183" s="16"/>
      <c r="H183" s="53"/>
      <c r="I183" s="53"/>
    </row>
    <row r="184">
      <c r="A184" s="38"/>
      <c r="B184" s="24"/>
      <c r="C184" s="51"/>
      <c r="D184" s="24"/>
      <c r="E184" s="24"/>
      <c r="F184" s="24"/>
      <c r="G184" s="27"/>
      <c r="H184" s="53"/>
      <c r="I184" s="53"/>
    </row>
    <row r="185">
      <c r="A185" s="35"/>
      <c r="B185" s="14"/>
      <c r="C185" s="54"/>
      <c r="D185" s="14"/>
      <c r="E185" s="14"/>
      <c r="F185" s="14"/>
      <c r="G185" s="16"/>
      <c r="H185" s="53"/>
      <c r="I185" s="53"/>
    </row>
    <row r="186">
      <c r="A186" s="38"/>
      <c r="B186" s="24"/>
      <c r="C186" s="51"/>
      <c r="D186" s="24"/>
      <c r="E186" s="24"/>
      <c r="F186" s="24"/>
      <c r="G186" s="27"/>
      <c r="H186" s="53"/>
      <c r="I186" s="53"/>
    </row>
    <row r="187">
      <c r="A187" s="35"/>
      <c r="B187" s="14"/>
      <c r="C187" s="54"/>
      <c r="D187" s="14"/>
      <c r="E187" s="14"/>
      <c r="F187" s="14"/>
      <c r="G187" s="16"/>
      <c r="H187" s="53"/>
      <c r="I187" s="53"/>
    </row>
    <row r="188">
      <c r="A188" s="38"/>
      <c r="B188" s="24"/>
      <c r="C188" s="51"/>
      <c r="D188" s="24"/>
      <c r="E188" s="24"/>
      <c r="F188" s="24"/>
      <c r="G188" s="27"/>
      <c r="H188" s="53"/>
      <c r="I188" s="53"/>
    </row>
    <row r="189">
      <c r="A189" s="35"/>
      <c r="B189" s="14"/>
      <c r="C189" s="54"/>
      <c r="D189" s="14"/>
      <c r="E189" s="14"/>
      <c r="F189" s="14"/>
      <c r="G189" s="16"/>
      <c r="H189" s="53"/>
      <c r="I189" s="53"/>
    </row>
    <row r="190">
      <c r="A190" s="38"/>
      <c r="B190" s="24"/>
      <c r="C190" s="51"/>
      <c r="D190" s="24"/>
      <c r="E190" s="24"/>
      <c r="F190" s="24"/>
      <c r="G190" s="27"/>
      <c r="H190" s="53"/>
      <c r="I190" s="53"/>
    </row>
    <row r="191">
      <c r="A191" s="35"/>
      <c r="B191" s="14"/>
      <c r="C191" s="54"/>
      <c r="D191" s="14"/>
      <c r="E191" s="14"/>
      <c r="F191" s="14"/>
      <c r="G191" s="16"/>
      <c r="H191" s="53"/>
      <c r="I191" s="53"/>
    </row>
    <row r="192">
      <c r="A192" s="38"/>
      <c r="B192" s="24"/>
      <c r="C192" s="51"/>
      <c r="D192" s="24"/>
      <c r="E192" s="24"/>
      <c r="F192" s="24"/>
      <c r="G192" s="27"/>
      <c r="H192" s="53"/>
      <c r="I192" s="53"/>
    </row>
    <row r="193">
      <c r="A193" s="35"/>
      <c r="B193" s="14"/>
      <c r="C193" s="54"/>
      <c r="D193" s="14"/>
      <c r="E193" s="14"/>
      <c r="F193" s="14"/>
      <c r="G193" s="16"/>
      <c r="H193" s="53"/>
      <c r="I193" s="53"/>
    </row>
    <row r="194">
      <c r="A194" s="38"/>
      <c r="B194" s="24"/>
      <c r="C194" s="51"/>
      <c r="D194" s="24"/>
      <c r="E194" s="24"/>
      <c r="F194" s="24"/>
      <c r="G194" s="27"/>
      <c r="H194" s="53"/>
      <c r="I194" s="53"/>
    </row>
    <row r="195">
      <c r="A195" s="35"/>
      <c r="B195" s="14"/>
      <c r="C195" s="54"/>
      <c r="D195" s="14"/>
      <c r="E195" s="14"/>
      <c r="F195" s="14"/>
      <c r="G195" s="16"/>
      <c r="H195" s="53"/>
      <c r="I195" s="53"/>
    </row>
    <row r="196">
      <c r="A196" s="38"/>
      <c r="B196" s="24"/>
      <c r="C196" s="51"/>
      <c r="D196" s="24"/>
      <c r="E196" s="24"/>
      <c r="F196" s="24"/>
      <c r="G196" s="27"/>
      <c r="H196" s="53"/>
      <c r="I196" s="53"/>
    </row>
    <row r="197">
      <c r="A197" s="35"/>
      <c r="B197" s="14"/>
      <c r="C197" s="54"/>
      <c r="D197" s="14"/>
      <c r="E197" s="14"/>
      <c r="F197" s="14"/>
      <c r="G197" s="16"/>
      <c r="H197" s="53"/>
      <c r="I197" s="53"/>
    </row>
    <row r="198">
      <c r="A198" s="38"/>
      <c r="B198" s="24"/>
      <c r="C198" s="51"/>
      <c r="D198" s="24"/>
      <c r="E198" s="24"/>
      <c r="F198" s="24"/>
      <c r="G198" s="27"/>
      <c r="H198" s="53"/>
      <c r="I198" s="53"/>
    </row>
    <row r="199">
      <c r="A199" s="35"/>
      <c r="B199" s="14"/>
      <c r="C199" s="54"/>
      <c r="D199" s="14"/>
      <c r="E199" s="14"/>
      <c r="F199" s="14"/>
      <c r="G199" s="16"/>
      <c r="H199" s="53"/>
      <c r="I199" s="53"/>
    </row>
    <row r="200">
      <c r="A200" s="38"/>
      <c r="B200" s="24"/>
      <c r="C200" s="51"/>
      <c r="D200" s="24"/>
      <c r="E200" s="24"/>
      <c r="F200" s="24"/>
      <c r="G200" s="27"/>
      <c r="H200" s="53"/>
      <c r="I200" s="53"/>
    </row>
    <row r="201">
      <c r="A201" s="35"/>
      <c r="B201" s="14"/>
      <c r="C201" s="54"/>
      <c r="D201" s="14"/>
      <c r="E201" s="14"/>
      <c r="F201" s="14"/>
      <c r="G201" s="16"/>
      <c r="H201" s="53"/>
      <c r="I201" s="53"/>
    </row>
    <row r="202">
      <c r="A202" s="38"/>
      <c r="B202" s="24"/>
      <c r="C202" s="51"/>
      <c r="D202" s="24"/>
      <c r="E202" s="24"/>
      <c r="F202" s="24"/>
      <c r="G202" s="27"/>
      <c r="H202" s="53"/>
      <c r="I202" s="53"/>
    </row>
    <row r="203">
      <c r="A203" s="35"/>
      <c r="B203" s="14"/>
      <c r="C203" s="54"/>
      <c r="D203" s="14"/>
      <c r="E203" s="14"/>
      <c r="F203" s="14"/>
      <c r="G203" s="16"/>
      <c r="H203" s="53"/>
      <c r="I203" s="53"/>
    </row>
    <row r="204">
      <c r="A204" s="38"/>
      <c r="B204" s="24"/>
      <c r="C204" s="51"/>
      <c r="D204" s="24"/>
      <c r="E204" s="24"/>
      <c r="F204" s="24"/>
      <c r="G204" s="27"/>
      <c r="H204" s="53"/>
      <c r="I204" s="53"/>
    </row>
    <row r="205">
      <c r="A205" s="35"/>
      <c r="B205" s="14"/>
      <c r="C205" s="54"/>
      <c r="D205" s="14"/>
      <c r="E205" s="14"/>
      <c r="F205" s="14"/>
      <c r="G205" s="16"/>
      <c r="H205" s="53"/>
      <c r="I205" s="53"/>
    </row>
    <row r="206">
      <c r="A206" s="38"/>
      <c r="B206" s="24"/>
      <c r="C206" s="51"/>
      <c r="D206" s="24"/>
      <c r="E206" s="24"/>
      <c r="F206" s="24"/>
      <c r="G206" s="27"/>
      <c r="H206" s="53"/>
      <c r="I206" s="53"/>
    </row>
    <row r="207">
      <c r="A207" s="35"/>
      <c r="B207" s="14"/>
      <c r="C207" s="54"/>
      <c r="D207" s="14"/>
      <c r="E207" s="14"/>
      <c r="F207" s="14"/>
      <c r="G207" s="16"/>
      <c r="H207" s="53"/>
      <c r="I207" s="53"/>
    </row>
    <row r="208">
      <c r="A208" s="38"/>
      <c r="B208" s="24"/>
      <c r="C208" s="51"/>
      <c r="D208" s="24"/>
      <c r="E208" s="24"/>
      <c r="F208" s="24"/>
      <c r="G208" s="27"/>
      <c r="H208" s="53"/>
      <c r="I208" s="53"/>
    </row>
    <row r="209">
      <c r="A209" s="35"/>
      <c r="B209" s="14"/>
      <c r="C209" s="54"/>
      <c r="D209" s="14"/>
      <c r="E209" s="14"/>
      <c r="F209" s="14"/>
      <c r="G209" s="16"/>
      <c r="H209" s="53"/>
      <c r="I209" s="53"/>
    </row>
    <row r="210">
      <c r="A210" s="38"/>
      <c r="B210" s="24"/>
      <c r="C210" s="51"/>
      <c r="D210" s="24"/>
      <c r="E210" s="24"/>
      <c r="F210" s="24"/>
      <c r="G210" s="27"/>
      <c r="H210" s="53"/>
      <c r="I210" s="53"/>
    </row>
    <row r="211">
      <c r="A211" s="35"/>
      <c r="B211" s="14"/>
      <c r="C211" s="54"/>
      <c r="D211" s="14"/>
      <c r="E211" s="14"/>
      <c r="F211" s="14"/>
      <c r="G211" s="16"/>
      <c r="H211" s="53"/>
      <c r="I211" s="53"/>
    </row>
    <row r="212">
      <c r="A212" s="38"/>
      <c r="B212" s="24"/>
      <c r="C212" s="51"/>
      <c r="D212" s="24"/>
      <c r="E212" s="24"/>
      <c r="F212" s="24"/>
      <c r="G212" s="27"/>
      <c r="H212" s="53"/>
      <c r="I212" s="53"/>
    </row>
    <row r="213">
      <c r="A213" s="35"/>
      <c r="B213" s="14"/>
      <c r="C213" s="54"/>
      <c r="D213" s="14"/>
      <c r="E213" s="14"/>
      <c r="F213" s="14"/>
      <c r="G213" s="16"/>
      <c r="H213" s="53"/>
      <c r="I213" s="53"/>
    </row>
    <row r="214">
      <c r="A214" s="38"/>
      <c r="B214" s="24"/>
      <c r="C214" s="51"/>
      <c r="D214" s="24"/>
      <c r="E214" s="24"/>
      <c r="F214" s="24"/>
      <c r="G214" s="27"/>
      <c r="H214" s="53"/>
      <c r="I214" s="53"/>
    </row>
    <row r="215">
      <c r="A215" s="35"/>
      <c r="B215" s="14"/>
      <c r="C215" s="54"/>
      <c r="D215" s="14"/>
      <c r="E215" s="14"/>
      <c r="F215" s="14"/>
      <c r="G215" s="16"/>
      <c r="H215" s="53"/>
      <c r="I215" s="53"/>
    </row>
    <row r="216">
      <c r="A216" s="38"/>
      <c r="B216" s="24"/>
      <c r="C216" s="51"/>
      <c r="D216" s="24"/>
      <c r="E216" s="24"/>
      <c r="F216" s="24"/>
      <c r="G216" s="27"/>
      <c r="H216" s="53"/>
      <c r="I216" s="53"/>
    </row>
    <row r="217">
      <c r="A217" s="35"/>
      <c r="B217" s="14"/>
      <c r="C217" s="54"/>
      <c r="D217" s="14"/>
      <c r="E217" s="14"/>
      <c r="F217" s="14"/>
      <c r="G217" s="16"/>
      <c r="H217" s="53"/>
      <c r="I217" s="53"/>
    </row>
    <row r="218">
      <c r="A218" s="38"/>
      <c r="B218" s="24"/>
      <c r="C218" s="51"/>
      <c r="D218" s="24"/>
      <c r="E218" s="24"/>
      <c r="F218" s="24"/>
      <c r="G218" s="27"/>
      <c r="H218" s="53"/>
      <c r="I218" s="53"/>
    </row>
    <row r="219">
      <c r="A219" s="35"/>
      <c r="B219" s="14"/>
      <c r="C219" s="54"/>
      <c r="D219" s="14"/>
      <c r="E219" s="14"/>
      <c r="F219" s="14"/>
      <c r="G219" s="16"/>
      <c r="H219" s="53"/>
      <c r="I219" s="53"/>
    </row>
    <row r="220">
      <c r="A220" s="38"/>
      <c r="B220" s="24"/>
      <c r="C220" s="51"/>
      <c r="D220" s="24"/>
      <c r="E220" s="24"/>
      <c r="F220" s="24"/>
      <c r="G220" s="27"/>
      <c r="H220" s="53"/>
      <c r="I220" s="53"/>
    </row>
    <row r="221">
      <c r="A221" s="35"/>
      <c r="B221" s="14"/>
      <c r="C221" s="54"/>
      <c r="D221" s="14"/>
      <c r="E221" s="14"/>
      <c r="F221" s="14"/>
      <c r="G221" s="16"/>
      <c r="H221" s="53"/>
      <c r="I221" s="53"/>
    </row>
    <row r="222">
      <c r="A222" s="38"/>
      <c r="B222" s="24"/>
      <c r="C222" s="51"/>
      <c r="D222" s="24"/>
      <c r="E222" s="24"/>
      <c r="F222" s="24"/>
      <c r="G222" s="27"/>
      <c r="H222" s="53"/>
      <c r="I222" s="53"/>
    </row>
    <row r="223">
      <c r="A223" s="35"/>
      <c r="B223" s="14"/>
      <c r="C223" s="54"/>
      <c r="D223" s="14"/>
      <c r="E223" s="14"/>
      <c r="F223" s="14"/>
      <c r="G223" s="16"/>
      <c r="H223" s="53"/>
      <c r="I223" s="53"/>
    </row>
    <row r="224">
      <c r="A224" s="38"/>
      <c r="B224" s="24"/>
      <c r="C224" s="51"/>
      <c r="D224" s="24"/>
      <c r="E224" s="24"/>
      <c r="F224" s="24"/>
      <c r="G224" s="27"/>
      <c r="H224" s="53"/>
      <c r="I224" s="53"/>
    </row>
    <row r="225">
      <c r="A225" s="35"/>
      <c r="B225" s="14"/>
      <c r="C225" s="54"/>
      <c r="D225" s="14"/>
      <c r="E225" s="14"/>
      <c r="F225" s="14"/>
      <c r="G225" s="16"/>
      <c r="H225" s="53"/>
      <c r="I225" s="53"/>
    </row>
    <row r="226">
      <c r="A226" s="38"/>
      <c r="B226" s="24"/>
      <c r="C226" s="51"/>
      <c r="D226" s="24"/>
      <c r="E226" s="24"/>
      <c r="F226" s="24"/>
      <c r="G226" s="27"/>
      <c r="H226" s="53"/>
      <c r="I226" s="53"/>
    </row>
    <row r="227">
      <c r="A227" s="35"/>
      <c r="B227" s="14"/>
      <c r="C227" s="54"/>
      <c r="D227" s="14"/>
      <c r="E227" s="14"/>
      <c r="F227" s="14"/>
      <c r="G227" s="16"/>
      <c r="H227" s="53"/>
      <c r="I227" s="53"/>
    </row>
    <row r="228">
      <c r="A228" s="38"/>
      <c r="B228" s="24"/>
      <c r="C228" s="51"/>
      <c r="D228" s="24"/>
      <c r="E228" s="24"/>
      <c r="F228" s="24"/>
      <c r="G228" s="27"/>
      <c r="H228" s="53"/>
      <c r="I228" s="53"/>
    </row>
    <row r="229">
      <c r="A229" s="35"/>
      <c r="B229" s="14"/>
      <c r="C229" s="54"/>
      <c r="D229" s="14"/>
      <c r="E229" s="14"/>
      <c r="F229" s="14"/>
      <c r="G229" s="16"/>
      <c r="H229" s="53"/>
      <c r="I229" s="53"/>
    </row>
    <row r="230">
      <c r="A230" s="38"/>
      <c r="B230" s="24"/>
      <c r="C230" s="51"/>
      <c r="D230" s="24"/>
      <c r="E230" s="24"/>
      <c r="F230" s="24"/>
      <c r="G230" s="27"/>
      <c r="H230" s="53"/>
      <c r="I230" s="53"/>
    </row>
    <row r="231">
      <c r="A231" s="35"/>
      <c r="B231" s="14"/>
      <c r="C231" s="54"/>
      <c r="D231" s="14"/>
      <c r="E231" s="14"/>
      <c r="F231" s="14"/>
      <c r="G231" s="16"/>
      <c r="H231" s="53"/>
      <c r="I231" s="53"/>
    </row>
    <row r="232">
      <c r="A232" s="38"/>
      <c r="B232" s="24"/>
      <c r="C232" s="51"/>
      <c r="D232" s="24"/>
      <c r="E232" s="24"/>
      <c r="F232" s="24"/>
      <c r="G232" s="27"/>
      <c r="H232" s="53"/>
      <c r="I232" s="53"/>
    </row>
    <row r="233">
      <c r="A233" s="35"/>
      <c r="B233" s="14"/>
      <c r="C233" s="54"/>
      <c r="D233" s="14"/>
      <c r="E233" s="14"/>
      <c r="F233" s="14"/>
      <c r="G233" s="16"/>
      <c r="H233" s="53"/>
      <c r="I233" s="53"/>
    </row>
    <row r="234">
      <c r="A234" s="38"/>
      <c r="B234" s="24"/>
      <c r="C234" s="51"/>
      <c r="D234" s="24"/>
      <c r="E234" s="24"/>
      <c r="F234" s="24"/>
      <c r="G234" s="27"/>
      <c r="H234" s="53"/>
      <c r="I234" s="53"/>
    </row>
    <row r="235">
      <c r="A235" s="35"/>
      <c r="B235" s="14"/>
      <c r="C235" s="54"/>
      <c r="D235" s="14"/>
      <c r="E235" s="14"/>
      <c r="F235" s="14"/>
      <c r="G235" s="16"/>
      <c r="H235" s="53"/>
      <c r="I235" s="53"/>
    </row>
    <row r="236">
      <c r="A236" s="38"/>
      <c r="B236" s="24"/>
      <c r="C236" s="51"/>
      <c r="D236" s="24"/>
      <c r="E236" s="24"/>
      <c r="F236" s="24"/>
      <c r="G236" s="27"/>
      <c r="H236" s="53"/>
      <c r="I236" s="53"/>
    </row>
    <row r="237">
      <c r="A237" s="35"/>
      <c r="B237" s="14"/>
      <c r="C237" s="54"/>
      <c r="D237" s="14"/>
      <c r="E237" s="14"/>
      <c r="F237" s="14"/>
      <c r="G237" s="16"/>
      <c r="H237" s="53"/>
      <c r="I237" s="53"/>
    </row>
    <row r="238">
      <c r="A238" s="38"/>
      <c r="B238" s="24"/>
      <c r="C238" s="51"/>
      <c r="D238" s="24"/>
      <c r="E238" s="24"/>
      <c r="F238" s="24"/>
      <c r="G238" s="27"/>
      <c r="H238" s="53"/>
      <c r="I238" s="53"/>
    </row>
    <row r="239">
      <c r="A239" s="35"/>
      <c r="B239" s="14"/>
      <c r="C239" s="54"/>
      <c r="D239" s="14"/>
      <c r="E239" s="14"/>
      <c r="F239" s="14"/>
      <c r="G239" s="16"/>
      <c r="H239" s="53"/>
      <c r="I239" s="53"/>
    </row>
    <row r="240">
      <c r="A240" s="38"/>
      <c r="B240" s="24"/>
      <c r="C240" s="51"/>
      <c r="D240" s="24"/>
      <c r="E240" s="24"/>
      <c r="F240" s="24"/>
      <c r="G240" s="27"/>
      <c r="H240" s="53"/>
      <c r="I240" s="53"/>
    </row>
    <row r="241">
      <c r="A241" s="35"/>
      <c r="B241" s="14"/>
      <c r="C241" s="54"/>
      <c r="D241" s="14"/>
      <c r="E241" s="14"/>
      <c r="F241" s="14"/>
      <c r="G241" s="16"/>
      <c r="H241" s="53"/>
      <c r="I241" s="53"/>
    </row>
    <row r="242">
      <c r="A242" s="38"/>
      <c r="B242" s="24"/>
      <c r="C242" s="51"/>
      <c r="D242" s="24"/>
      <c r="E242" s="24"/>
      <c r="F242" s="24"/>
      <c r="G242" s="27"/>
      <c r="H242" s="53"/>
      <c r="I242" s="53"/>
    </row>
    <row r="243">
      <c r="A243" s="35"/>
      <c r="B243" s="14"/>
      <c r="C243" s="54"/>
      <c r="D243" s="14"/>
      <c r="E243" s="14"/>
      <c r="F243" s="14"/>
      <c r="G243" s="16"/>
      <c r="H243" s="53"/>
      <c r="I243" s="53"/>
    </row>
    <row r="244">
      <c r="A244" s="38"/>
      <c r="B244" s="24"/>
      <c r="C244" s="51"/>
      <c r="D244" s="24"/>
      <c r="E244" s="24"/>
      <c r="F244" s="24"/>
      <c r="G244" s="27"/>
      <c r="H244" s="53"/>
      <c r="I244" s="53"/>
    </row>
    <row r="245">
      <c r="A245" s="35"/>
      <c r="B245" s="14"/>
      <c r="C245" s="54"/>
      <c r="D245" s="14"/>
      <c r="E245" s="14"/>
      <c r="F245" s="14"/>
      <c r="G245" s="16"/>
      <c r="H245" s="53"/>
      <c r="I245" s="53"/>
    </row>
    <row r="246">
      <c r="A246" s="38"/>
      <c r="B246" s="24"/>
      <c r="C246" s="51"/>
      <c r="D246" s="24"/>
      <c r="E246" s="24"/>
      <c r="F246" s="24"/>
      <c r="G246" s="27"/>
      <c r="H246" s="53"/>
      <c r="I246" s="53"/>
    </row>
    <row r="247">
      <c r="A247" s="35"/>
      <c r="B247" s="14"/>
      <c r="C247" s="54"/>
      <c r="D247" s="14"/>
      <c r="E247" s="14"/>
      <c r="F247" s="14"/>
      <c r="G247" s="16"/>
      <c r="H247" s="53"/>
      <c r="I247" s="53"/>
    </row>
    <row r="248">
      <c r="A248" s="53"/>
      <c r="B248" s="53"/>
      <c r="C248" s="53"/>
      <c r="D248" s="53"/>
      <c r="E248" s="53"/>
      <c r="F248" s="53"/>
      <c r="G248" s="68"/>
      <c r="H248" s="53"/>
      <c r="I248" s="53"/>
    </row>
    <row r="249">
      <c r="A249" s="53"/>
      <c r="B249" s="53"/>
      <c r="C249" s="53"/>
      <c r="D249" s="53"/>
      <c r="E249" s="53"/>
      <c r="F249" s="53"/>
      <c r="G249" s="68"/>
      <c r="H249" s="53"/>
      <c r="I249" s="53"/>
    </row>
    <row r="250">
      <c r="G250" s="63"/>
    </row>
    <row r="251">
      <c r="G251" s="63"/>
    </row>
    <row r="252">
      <c r="G252" s="63"/>
    </row>
    <row r="253">
      <c r="G253" s="63"/>
    </row>
    <row r="254" ht="15.75" customHeight="1">
      <c r="G254" s="63"/>
    </row>
    <row r="255" ht="15.75" customHeight="1">
      <c r="G255" s="63"/>
    </row>
    <row r="256" ht="15.75" customHeight="1">
      <c r="G256" s="63"/>
    </row>
    <row r="257" ht="15.75" customHeight="1">
      <c r="G257" s="63"/>
    </row>
    <row r="258" ht="15.75" customHeight="1">
      <c r="G258" s="63"/>
    </row>
    <row r="259" ht="15.75" customHeight="1">
      <c r="G259" s="63"/>
    </row>
    <row r="260" ht="15.75" customHeight="1">
      <c r="G260" s="63"/>
    </row>
    <row r="261" ht="15.75" customHeight="1">
      <c r="G261" s="63"/>
    </row>
    <row r="262" ht="15.75" customHeight="1">
      <c r="G262" s="63"/>
    </row>
    <row r="263" ht="15.75" customHeight="1">
      <c r="G263" s="63"/>
    </row>
    <row r="264" ht="15.75" customHeight="1">
      <c r="G264" s="63"/>
    </row>
    <row r="265" ht="15.75" customHeight="1">
      <c r="G265" s="63"/>
    </row>
    <row r="266" ht="15.75" customHeight="1">
      <c r="G266" s="63"/>
    </row>
    <row r="267" ht="15.75" customHeight="1">
      <c r="G267" s="63"/>
    </row>
    <row r="268" ht="15.75" customHeight="1">
      <c r="G268" s="63"/>
    </row>
    <row r="269" ht="15.75" customHeight="1">
      <c r="G269" s="63"/>
    </row>
    <row r="270" ht="15.75" customHeight="1">
      <c r="G270" s="63"/>
    </row>
    <row r="271" ht="15.75" customHeight="1">
      <c r="G271" s="63"/>
    </row>
    <row r="272" ht="15.75" customHeight="1">
      <c r="G272" s="63"/>
    </row>
    <row r="273" ht="15.75" customHeight="1">
      <c r="G273" s="63"/>
    </row>
    <row r="274" ht="15.75" customHeight="1">
      <c r="G274" s="63"/>
    </row>
    <row r="275" ht="15.75" customHeight="1">
      <c r="G275" s="63"/>
    </row>
    <row r="276" ht="15.75" customHeight="1">
      <c r="G276" s="63"/>
    </row>
    <row r="277" ht="15.75" customHeight="1">
      <c r="G277" s="63"/>
    </row>
    <row r="278" ht="15.75" customHeight="1">
      <c r="G278" s="63"/>
    </row>
    <row r="279" ht="15.75" customHeight="1">
      <c r="G279" s="63"/>
    </row>
    <row r="280" ht="15.75" customHeight="1">
      <c r="G280" s="63"/>
    </row>
    <row r="281" ht="15.75" customHeight="1">
      <c r="G281" s="63"/>
    </row>
    <row r="282" ht="15.75" customHeight="1">
      <c r="G282" s="63"/>
    </row>
    <row r="283" ht="15.75" customHeight="1">
      <c r="G283" s="63"/>
    </row>
    <row r="284" ht="15.75" customHeight="1">
      <c r="G284" s="63"/>
    </row>
    <row r="285" ht="15.75" customHeight="1">
      <c r="G285" s="63"/>
    </row>
    <row r="286" ht="15.75" customHeight="1">
      <c r="G286" s="63"/>
    </row>
    <row r="287" ht="15.75" customHeight="1">
      <c r="G287" s="63"/>
    </row>
    <row r="288" ht="15.75" customHeight="1">
      <c r="G288" s="63"/>
    </row>
    <row r="289" ht="15.75" customHeight="1">
      <c r="G289" s="63"/>
    </row>
    <row r="290" ht="15.75" customHeight="1">
      <c r="G290" s="63"/>
    </row>
    <row r="291" ht="15.75" customHeight="1">
      <c r="G291" s="63"/>
    </row>
    <row r="292" ht="15.75" customHeight="1">
      <c r="G292" s="63"/>
    </row>
    <row r="293" ht="15.75" customHeight="1">
      <c r="G293" s="63"/>
    </row>
    <row r="294" ht="15.75" customHeight="1">
      <c r="G294" s="63"/>
    </row>
    <row r="295" ht="15.75" customHeight="1">
      <c r="G295" s="63"/>
    </row>
    <row r="296" ht="15.75" customHeight="1">
      <c r="G296" s="63"/>
    </row>
    <row r="297" ht="15.75" customHeight="1">
      <c r="G297" s="63"/>
    </row>
    <row r="298" ht="15.75" customHeight="1">
      <c r="G298" s="63"/>
    </row>
    <row r="299" ht="15.75" customHeight="1">
      <c r="G299" s="63"/>
    </row>
    <row r="300" ht="15.75" customHeight="1">
      <c r="G300" s="63"/>
    </row>
    <row r="301" ht="15.75" customHeight="1">
      <c r="G301" s="63"/>
    </row>
    <row r="302" ht="15.75" customHeight="1">
      <c r="G302" s="63"/>
    </row>
    <row r="303" ht="15.75" customHeight="1">
      <c r="G303" s="63"/>
    </row>
    <row r="304" ht="15.75" customHeight="1">
      <c r="G304" s="63"/>
    </row>
    <row r="305" ht="15.75" customHeight="1">
      <c r="G305" s="63"/>
    </row>
    <row r="306" ht="15.75" customHeight="1">
      <c r="G306" s="63"/>
    </row>
    <row r="307" ht="15.75" customHeight="1">
      <c r="G307" s="63"/>
    </row>
    <row r="308" ht="15.75" customHeight="1">
      <c r="G308" s="63"/>
    </row>
    <row r="309" ht="15.75" customHeight="1">
      <c r="G309" s="63"/>
    </row>
    <row r="310" ht="15.75" customHeight="1">
      <c r="G310" s="63"/>
    </row>
    <row r="311" ht="15.75" customHeight="1">
      <c r="G311" s="63"/>
    </row>
    <row r="312" ht="15.75" customHeight="1">
      <c r="G312" s="63"/>
    </row>
    <row r="313" ht="15.75" customHeight="1">
      <c r="G313" s="63"/>
    </row>
    <row r="314" ht="15.75" customHeight="1">
      <c r="G314" s="63"/>
    </row>
    <row r="315" ht="15.75" customHeight="1">
      <c r="G315" s="63"/>
    </row>
    <row r="316" ht="15.75" customHeight="1">
      <c r="G316" s="63"/>
    </row>
    <row r="317" ht="15.75" customHeight="1">
      <c r="G317" s="63"/>
    </row>
    <row r="318" ht="15.75" customHeight="1">
      <c r="G318" s="63"/>
    </row>
    <row r="319" ht="15.75" customHeight="1">
      <c r="G319" s="63"/>
    </row>
    <row r="320" ht="15.75" customHeight="1">
      <c r="G320" s="63"/>
    </row>
    <row r="321" ht="15.75" customHeight="1">
      <c r="G321" s="63"/>
    </row>
    <row r="322" ht="15.75" customHeight="1">
      <c r="G322" s="63"/>
    </row>
    <row r="323" ht="15.75" customHeight="1">
      <c r="G323" s="63"/>
    </row>
    <row r="324" ht="15.75" customHeight="1">
      <c r="G324" s="63"/>
    </row>
    <row r="325" ht="15.75" customHeight="1">
      <c r="G325" s="63"/>
    </row>
    <row r="326" ht="15.75" customHeight="1">
      <c r="G326" s="63"/>
    </row>
    <row r="327" ht="15.75" customHeight="1">
      <c r="G327" s="63"/>
    </row>
    <row r="328" ht="15.75" customHeight="1">
      <c r="G328" s="63"/>
    </row>
    <row r="329" ht="15.75" customHeight="1">
      <c r="G329" s="63"/>
    </row>
    <row r="330" ht="15.75" customHeight="1">
      <c r="G330" s="63"/>
    </row>
    <row r="331" ht="15.75" customHeight="1">
      <c r="G331" s="63"/>
    </row>
    <row r="332" ht="15.75" customHeight="1">
      <c r="G332" s="63"/>
    </row>
    <row r="333" ht="15.75" customHeight="1">
      <c r="G333" s="63"/>
    </row>
    <row r="334" ht="15.75" customHeight="1">
      <c r="G334" s="63"/>
    </row>
    <row r="335" ht="15.75" customHeight="1">
      <c r="G335" s="63"/>
    </row>
    <row r="336" ht="15.75" customHeight="1">
      <c r="G336" s="63"/>
    </row>
    <row r="337" ht="15.75" customHeight="1">
      <c r="G337" s="63"/>
    </row>
    <row r="338" ht="15.75" customHeight="1">
      <c r="G338" s="63"/>
    </row>
    <row r="339" ht="15.75" customHeight="1">
      <c r="G339" s="63"/>
    </row>
    <row r="340" ht="15.75" customHeight="1">
      <c r="G340" s="63"/>
    </row>
    <row r="341" ht="15.75" customHeight="1">
      <c r="G341" s="63"/>
    </row>
    <row r="342" ht="15.75" customHeight="1">
      <c r="G342" s="63"/>
    </row>
    <row r="343" ht="15.75" customHeight="1">
      <c r="G343" s="63"/>
    </row>
    <row r="344" ht="15.75" customHeight="1">
      <c r="G344" s="63"/>
    </row>
    <row r="345" ht="15.75" customHeight="1">
      <c r="G345" s="63"/>
    </row>
    <row r="346" ht="15.75" customHeight="1">
      <c r="G346" s="63"/>
    </row>
    <row r="347" ht="15.75" customHeight="1">
      <c r="G347" s="63"/>
    </row>
    <row r="348" ht="15.75" customHeight="1">
      <c r="G348" s="63"/>
    </row>
    <row r="349" ht="15.75" customHeight="1">
      <c r="G349" s="63"/>
    </row>
    <row r="350" ht="15.75" customHeight="1">
      <c r="G350" s="63"/>
    </row>
    <row r="351" ht="15.75" customHeight="1">
      <c r="G351" s="63"/>
    </row>
    <row r="352" ht="15.75" customHeight="1">
      <c r="G352" s="63"/>
    </row>
    <row r="353" ht="15.75" customHeight="1">
      <c r="G353" s="63"/>
    </row>
    <row r="354" ht="15.75" customHeight="1">
      <c r="G354" s="63"/>
    </row>
    <row r="355" ht="15.75" customHeight="1">
      <c r="G355" s="63"/>
    </row>
    <row r="356" ht="15.75" customHeight="1">
      <c r="G356" s="63"/>
    </row>
    <row r="357" ht="15.75" customHeight="1">
      <c r="G357" s="63"/>
    </row>
    <row r="358" ht="15.75" customHeight="1">
      <c r="G358" s="63"/>
    </row>
    <row r="359" ht="15.75" customHeight="1">
      <c r="G359" s="63"/>
    </row>
    <row r="360" ht="15.75" customHeight="1">
      <c r="G360" s="63"/>
    </row>
    <row r="361" ht="15.75" customHeight="1">
      <c r="G361" s="63"/>
    </row>
    <row r="362" ht="15.75" customHeight="1">
      <c r="G362" s="63"/>
    </row>
    <row r="363" ht="15.75" customHeight="1">
      <c r="G363" s="63"/>
    </row>
    <row r="364" ht="15.75" customHeight="1">
      <c r="G364" s="63"/>
    </row>
    <row r="365" ht="15.75" customHeight="1">
      <c r="G365" s="63"/>
    </row>
    <row r="366" ht="15.75" customHeight="1">
      <c r="G366" s="63"/>
    </row>
    <row r="367" ht="15.75" customHeight="1">
      <c r="G367" s="63"/>
    </row>
    <row r="368" ht="15.75" customHeight="1">
      <c r="G368" s="63"/>
    </row>
    <row r="369" ht="15.75" customHeight="1">
      <c r="G369" s="63"/>
    </row>
    <row r="370" ht="15.75" customHeight="1">
      <c r="G370" s="63"/>
    </row>
    <row r="371" ht="15.75" customHeight="1">
      <c r="G371" s="63"/>
    </row>
    <row r="372" ht="15.75" customHeight="1">
      <c r="G372" s="63"/>
    </row>
    <row r="373" ht="15.75" customHeight="1">
      <c r="G373" s="63"/>
    </row>
    <row r="374" ht="15.75" customHeight="1">
      <c r="G374" s="63"/>
    </row>
    <row r="375" ht="15.75" customHeight="1">
      <c r="G375" s="63"/>
    </row>
    <row r="376" ht="15.75" customHeight="1">
      <c r="G376" s="63"/>
    </row>
    <row r="377" ht="15.75" customHeight="1">
      <c r="G377" s="63"/>
    </row>
    <row r="378" ht="15.75" customHeight="1">
      <c r="G378" s="63"/>
    </row>
    <row r="379" ht="15.75" customHeight="1">
      <c r="G379" s="63"/>
    </row>
    <row r="380" ht="15.75" customHeight="1">
      <c r="G380" s="63"/>
    </row>
    <row r="381" ht="15.75" customHeight="1">
      <c r="G381" s="63"/>
    </row>
    <row r="382" ht="15.75" customHeight="1">
      <c r="G382" s="63"/>
    </row>
    <row r="383" ht="15.75" customHeight="1">
      <c r="G383" s="63"/>
    </row>
    <row r="384" ht="15.75" customHeight="1">
      <c r="G384" s="63"/>
    </row>
    <row r="385" ht="15.75" customHeight="1">
      <c r="G385" s="63"/>
    </row>
    <row r="386" ht="15.75" customHeight="1">
      <c r="G386" s="63"/>
    </row>
    <row r="387" ht="15.75" customHeight="1">
      <c r="G387" s="63"/>
    </row>
    <row r="388" ht="15.75" customHeight="1">
      <c r="G388" s="63"/>
    </row>
    <row r="389" ht="15.75" customHeight="1">
      <c r="G389" s="63"/>
    </row>
    <row r="390" ht="15.75" customHeight="1">
      <c r="G390" s="63"/>
    </row>
    <row r="391" ht="15.75" customHeight="1">
      <c r="G391" s="63"/>
    </row>
    <row r="392" ht="15.75" customHeight="1">
      <c r="G392" s="63"/>
    </row>
    <row r="393" ht="15.75" customHeight="1">
      <c r="G393" s="63"/>
    </row>
    <row r="394" ht="15.75" customHeight="1">
      <c r="G394" s="63"/>
    </row>
    <row r="395" ht="15.75" customHeight="1">
      <c r="G395" s="63"/>
    </row>
    <row r="396" ht="15.75" customHeight="1">
      <c r="G396" s="63"/>
    </row>
    <row r="397" ht="15.75" customHeight="1">
      <c r="G397" s="63"/>
    </row>
    <row r="398" ht="15.75" customHeight="1">
      <c r="G398" s="63"/>
    </row>
    <row r="399" ht="15.75" customHeight="1">
      <c r="G399" s="63"/>
    </row>
    <row r="400" ht="15.75" customHeight="1">
      <c r="G400" s="63"/>
    </row>
    <row r="401" ht="15.75" customHeight="1">
      <c r="G401" s="63"/>
    </row>
    <row r="402" ht="15.75" customHeight="1">
      <c r="G402" s="63"/>
    </row>
    <row r="403" ht="15.75" customHeight="1">
      <c r="G403" s="63"/>
    </row>
    <row r="404" ht="15.75" customHeight="1">
      <c r="G404" s="63"/>
    </row>
    <row r="405" ht="15.75" customHeight="1">
      <c r="G405" s="63"/>
    </row>
    <row r="406" ht="15.75" customHeight="1">
      <c r="G406" s="63"/>
    </row>
    <row r="407" ht="15.75" customHeight="1">
      <c r="G407" s="63"/>
    </row>
    <row r="408" ht="15.75" customHeight="1">
      <c r="G408" s="63"/>
    </row>
    <row r="409" ht="15.75" customHeight="1">
      <c r="G409" s="63"/>
    </row>
    <row r="410" ht="15.75" customHeight="1">
      <c r="G410" s="63"/>
    </row>
    <row r="411" ht="15.75" customHeight="1">
      <c r="G411" s="63"/>
    </row>
    <row r="412" ht="15.75" customHeight="1">
      <c r="G412" s="63"/>
    </row>
    <row r="413" ht="15.75" customHeight="1">
      <c r="G413" s="63"/>
    </row>
    <row r="414" ht="15.75" customHeight="1">
      <c r="G414" s="63"/>
    </row>
    <row r="415" ht="15.75" customHeight="1">
      <c r="G415" s="63"/>
    </row>
    <row r="416" ht="15.75" customHeight="1">
      <c r="G416" s="63"/>
    </row>
    <row r="417" ht="15.75" customHeight="1">
      <c r="G417" s="63"/>
    </row>
    <row r="418" ht="15.75" customHeight="1">
      <c r="G418" s="63"/>
    </row>
    <row r="419" ht="15.75" customHeight="1">
      <c r="G419" s="63"/>
    </row>
    <row r="420" ht="15.75" customHeight="1">
      <c r="G420" s="63"/>
    </row>
    <row r="421" ht="15.75" customHeight="1">
      <c r="G421" s="63"/>
    </row>
    <row r="422" ht="15.75" customHeight="1">
      <c r="G422" s="63"/>
    </row>
    <row r="423" ht="15.75" customHeight="1">
      <c r="G423" s="63"/>
    </row>
    <row r="424" ht="15.75" customHeight="1">
      <c r="G424" s="63"/>
    </row>
    <row r="425" ht="15.75" customHeight="1">
      <c r="G425" s="63"/>
    </row>
    <row r="426" ht="15.75" customHeight="1">
      <c r="G426" s="63"/>
    </row>
    <row r="427" ht="15.75" customHeight="1">
      <c r="G427" s="63"/>
    </row>
    <row r="428" ht="15.75" customHeight="1">
      <c r="G428" s="63"/>
    </row>
    <row r="429" ht="15.75" customHeight="1">
      <c r="G429" s="63"/>
    </row>
    <row r="430" ht="15.75" customHeight="1">
      <c r="G430" s="63"/>
    </row>
    <row r="431" ht="15.75" customHeight="1">
      <c r="G431" s="63"/>
    </row>
    <row r="432" ht="15.75" customHeight="1">
      <c r="G432" s="63"/>
    </row>
    <row r="433" ht="15.75" customHeight="1">
      <c r="G433" s="63"/>
    </row>
    <row r="434" ht="15.75" customHeight="1">
      <c r="G434" s="63"/>
    </row>
    <row r="435" ht="15.75" customHeight="1">
      <c r="G435" s="63"/>
    </row>
    <row r="436" ht="15.75" customHeight="1">
      <c r="G436" s="63"/>
    </row>
    <row r="437" ht="15.75" customHeight="1">
      <c r="G437" s="63"/>
    </row>
    <row r="438" ht="15.75" customHeight="1">
      <c r="G438" s="63"/>
    </row>
    <row r="439" ht="15.75" customHeight="1">
      <c r="G439" s="63"/>
    </row>
    <row r="440" ht="15.75" customHeight="1">
      <c r="G440" s="63"/>
    </row>
    <row r="441" ht="15.75" customHeight="1">
      <c r="G441" s="63"/>
    </row>
    <row r="442" ht="15.75" customHeight="1">
      <c r="G442" s="63"/>
    </row>
    <row r="443" ht="15.75" customHeight="1">
      <c r="G443" s="63"/>
    </row>
    <row r="444" ht="15.75" customHeight="1">
      <c r="G444" s="63"/>
    </row>
    <row r="445" ht="15.75" customHeight="1">
      <c r="G445" s="63"/>
    </row>
    <row r="446" ht="15.75" customHeight="1">
      <c r="G446" s="63"/>
    </row>
    <row r="447" ht="15.75" customHeight="1">
      <c r="G447" s="63"/>
    </row>
    <row r="448" ht="15.75" customHeight="1">
      <c r="G448" s="63"/>
    </row>
    <row r="449" ht="15.75" customHeight="1">
      <c r="G449" s="63"/>
    </row>
    <row r="450" ht="15.75" customHeight="1">
      <c r="G450" s="63"/>
    </row>
    <row r="451" ht="15.75" customHeight="1">
      <c r="G451" s="63"/>
    </row>
    <row r="452" ht="15.75" customHeight="1">
      <c r="G452" s="63"/>
    </row>
    <row r="453" ht="15.75" customHeight="1">
      <c r="G453" s="63"/>
    </row>
    <row r="454" ht="15.75" customHeight="1">
      <c r="G454" s="63"/>
    </row>
    <row r="455" ht="15.75" customHeight="1">
      <c r="G455" s="63"/>
    </row>
    <row r="456" ht="15.75" customHeight="1">
      <c r="G456" s="63"/>
    </row>
    <row r="457" ht="15.75" customHeight="1">
      <c r="G457" s="63"/>
    </row>
    <row r="458" ht="15.75" customHeight="1">
      <c r="G458" s="63"/>
    </row>
    <row r="459" ht="15.75" customHeight="1">
      <c r="G459" s="63"/>
    </row>
    <row r="460" ht="15.75" customHeight="1">
      <c r="G460" s="63"/>
    </row>
    <row r="461" ht="15.75" customHeight="1">
      <c r="G461" s="63"/>
    </row>
    <row r="462" ht="15.75" customHeight="1">
      <c r="G462" s="63"/>
    </row>
    <row r="463" ht="15.75" customHeight="1">
      <c r="G463" s="63"/>
    </row>
    <row r="464" ht="15.75" customHeight="1">
      <c r="G464" s="63"/>
    </row>
    <row r="465" ht="15.75" customHeight="1">
      <c r="G465" s="63"/>
    </row>
    <row r="466" ht="15.75" customHeight="1">
      <c r="G466" s="63"/>
    </row>
    <row r="467" ht="15.75" customHeight="1">
      <c r="G467" s="63"/>
    </row>
    <row r="468" ht="15.75" customHeight="1">
      <c r="G468" s="63"/>
    </row>
    <row r="469" ht="15.75" customHeight="1">
      <c r="G469" s="63"/>
    </row>
    <row r="470" ht="15.75" customHeight="1">
      <c r="G470" s="63"/>
    </row>
    <row r="471" ht="15.75" customHeight="1">
      <c r="G471" s="63"/>
    </row>
    <row r="472" ht="15.75" customHeight="1">
      <c r="G472" s="63"/>
    </row>
    <row r="473" ht="15.75" customHeight="1">
      <c r="G473" s="63"/>
    </row>
    <row r="474" ht="15.75" customHeight="1">
      <c r="G474" s="63"/>
    </row>
    <row r="475" ht="15.75" customHeight="1">
      <c r="G475" s="63"/>
    </row>
    <row r="476" ht="15.75" customHeight="1">
      <c r="G476" s="63"/>
    </row>
    <row r="477" ht="15.75" customHeight="1">
      <c r="G477" s="63"/>
    </row>
    <row r="478" ht="15.75" customHeight="1">
      <c r="G478" s="63"/>
    </row>
    <row r="479" ht="15.75" customHeight="1">
      <c r="G479" s="63"/>
    </row>
    <row r="480" ht="15.75" customHeight="1">
      <c r="G480" s="63"/>
    </row>
    <row r="481" ht="15.75" customHeight="1">
      <c r="G481" s="63"/>
    </row>
    <row r="482" ht="15.75" customHeight="1">
      <c r="G482" s="63"/>
    </row>
    <row r="483" ht="15.75" customHeight="1">
      <c r="G483" s="63"/>
    </row>
    <row r="484" ht="15.75" customHeight="1">
      <c r="G484" s="63"/>
    </row>
    <row r="485" ht="15.75" customHeight="1">
      <c r="G485" s="63"/>
    </row>
    <row r="486" ht="15.75" customHeight="1">
      <c r="G486" s="63"/>
    </row>
    <row r="487" ht="15.75" customHeight="1">
      <c r="G487" s="63"/>
    </row>
    <row r="488" ht="15.75" customHeight="1">
      <c r="G488" s="63"/>
    </row>
    <row r="489" ht="15.75" customHeight="1">
      <c r="G489" s="63"/>
    </row>
    <row r="490" ht="15.75" customHeight="1">
      <c r="G490" s="63"/>
    </row>
    <row r="491" ht="15.75" customHeight="1">
      <c r="G491" s="63"/>
    </row>
    <row r="492" ht="15.75" customHeight="1">
      <c r="G492" s="63"/>
    </row>
    <row r="493" ht="15.75" customHeight="1">
      <c r="G493" s="63"/>
    </row>
    <row r="494" ht="15.75" customHeight="1">
      <c r="G494" s="63"/>
    </row>
    <row r="495" ht="15.75" customHeight="1">
      <c r="G495" s="63"/>
    </row>
    <row r="496" ht="15.75" customHeight="1">
      <c r="G496" s="63"/>
    </row>
    <row r="497" ht="15.75" customHeight="1">
      <c r="G497" s="63"/>
    </row>
    <row r="498" ht="15.75" customHeight="1">
      <c r="G498" s="63"/>
    </row>
    <row r="499" ht="15.75" customHeight="1">
      <c r="G499" s="63"/>
    </row>
    <row r="500" ht="15.75" customHeight="1">
      <c r="G500" s="63"/>
    </row>
    <row r="501" ht="15.75" customHeight="1">
      <c r="G501" s="63"/>
    </row>
    <row r="502" ht="15.75" customHeight="1">
      <c r="G502" s="63"/>
    </row>
    <row r="503" ht="15.75" customHeight="1">
      <c r="G503" s="63"/>
    </row>
    <row r="504" ht="15.75" customHeight="1">
      <c r="G504" s="63"/>
    </row>
    <row r="505" ht="15.75" customHeight="1">
      <c r="G505" s="63"/>
    </row>
    <row r="506" ht="15.75" customHeight="1">
      <c r="G506" s="63"/>
    </row>
    <row r="507" ht="15.75" customHeight="1">
      <c r="G507" s="63"/>
    </row>
    <row r="508" ht="15.75" customHeight="1">
      <c r="G508" s="63"/>
    </row>
    <row r="509" ht="15.75" customHeight="1">
      <c r="G509" s="63"/>
    </row>
    <row r="510" ht="15.75" customHeight="1">
      <c r="G510" s="63"/>
    </row>
    <row r="511" ht="15.75" customHeight="1">
      <c r="G511" s="63"/>
    </row>
    <row r="512" ht="15.75" customHeight="1">
      <c r="G512" s="63"/>
    </row>
    <row r="513" ht="15.75" customHeight="1">
      <c r="G513" s="63"/>
    </row>
    <row r="514" ht="15.75" customHeight="1">
      <c r="G514" s="63"/>
    </row>
    <row r="515" ht="15.75" customHeight="1">
      <c r="G515" s="63"/>
    </row>
    <row r="516" ht="15.75" customHeight="1">
      <c r="G516" s="63"/>
    </row>
    <row r="517" ht="15.75" customHeight="1">
      <c r="G517" s="63"/>
    </row>
    <row r="518" ht="15.75" customHeight="1">
      <c r="G518" s="63"/>
    </row>
    <row r="519" ht="15.75" customHeight="1">
      <c r="G519" s="63"/>
    </row>
    <row r="520" ht="15.75" customHeight="1">
      <c r="G520" s="63"/>
    </row>
    <row r="521" ht="15.75" customHeight="1">
      <c r="G521" s="63"/>
    </row>
    <row r="522" ht="15.75" customHeight="1">
      <c r="G522" s="63"/>
    </row>
    <row r="523" ht="15.75" customHeight="1">
      <c r="G523" s="63"/>
    </row>
    <row r="524" ht="15.75" customHeight="1">
      <c r="G524" s="63"/>
    </row>
    <row r="525" ht="15.75" customHeight="1">
      <c r="G525" s="63"/>
    </row>
    <row r="526" ht="15.75" customHeight="1">
      <c r="G526" s="63"/>
    </row>
    <row r="527" ht="15.75" customHeight="1">
      <c r="G527" s="63"/>
    </row>
    <row r="528" ht="15.75" customHeight="1">
      <c r="G528" s="63"/>
    </row>
    <row r="529" ht="15.75" customHeight="1">
      <c r="G529" s="63"/>
    </row>
    <row r="530" ht="15.75" customHeight="1">
      <c r="G530" s="63"/>
    </row>
    <row r="531" ht="15.75" customHeight="1">
      <c r="G531" s="63"/>
    </row>
    <row r="532" ht="15.75" customHeight="1">
      <c r="G532" s="63"/>
    </row>
    <row r="533" ht="15.75" customHeight="1">
      <c r="G533" s="63"/>
    </row>
    <row r="534" ht="15.75" customHeight="1">
      <c r="G534" s="63"/>
    </row>
    <row r="535" ht="15.75" customHeight="1">
      <c r="G535" s="63"/>
    </row>
    <row r="536" ht="15.75" customHeight="1">
      <c r="G536" s="63"/>
    </row>
    <row r="537" ht="15.75" customHeight="1">
      <c r="G537" s="63"/>
    </row>
    <row r="538" ht="15.75" customHeight="1">
      <c r="G538" s="63"/>
    </row>
    <row r="539" ht="15.75" customHeight="1">
      <c r="G539" s="63"/>
    </row>
    <row r="540" ht="15.75" customHeight="1">
      <c r="G540" s="63"/>
    </row>
    <row r="541" ht="15.75" customHeight="1">
      <c r="G541" s="63"/>
    </row>
    <row r="542" ht="15.75" customHeight="1">
      <c r="G542" s="63"/>
    </row>
    <row r="543" ht="15.75" customHeight="1">
      <c r="G543" s="63"/>
    </row>
    <row r="544" ht="15.75" customHeight="1">
      <c r="G544" s="63"/>
    </row>
    <row r="545" ht="15.75" customHeight="1">
      <c r="G545" s="63"/>
    </row>
    <row r="546" ht="15.75" customHeight="1">
      <c r="G546" s="63"/>
    </row>
    <row r="547" ht="15.75" customHeight="1">
      <c r="G547" s="63"/>
    </row>
    <row r="548" ht="15.75" customHeight="1">
      <c r="G548" s="63"/>
    </row>
    <row r="549" ht="15.75" customHeight="1">
      <c r="G549" s="63"/>
    </row>
    <row r="550" ht="15.75" customHeight="1">
      <c r="G550" s="63"/>
    </row>
    <row r="551" ht="15.75" customHeight="1">
      <c r="G551" s="63"/>
    </row>
    <row r="552" ht="15.75" customHeight="1">
      <c r="G552" s="63"/>
    </row>
    <row r="553" ht="15.75" customHeight="1">
      <c r="G553" s="63"/>
    </row>
    <row r="554" ht="15.75" customHeight="1">
      <c r="G554" s="63"/>
    </row>
    <row r="555" ht="15.75" customHeight="1">
      <c r="G555" s="63"/>
    </row>
    <row r="556" ht="15.75" customHeight="1">
      <c r="G556" s="63"/>
    </row>
    <row r="557" ht="15.75" customHeight="1">
      <c r="G557" s="63"/>
    </row>
    <row r="558" ht="15.75" customHeight="1">
      <c r="G558" s="63"/>
    </row>
    <row r="559" ht="15.75" customHeight="1">
      <c r="G559" s="63"/>
    </row>
    <row r="560" ht="15.75" customHeight="1">
      <c r="G560" s="63"/>
    </row>
    <row r="561" ht="15.75" customHeight="1">
      <c r="G561" s="63"/>
    </row>
    <row r="562" ht="15.75" customHeight="1">
      <c r="G562" s="63"/>
    </row>
    <row r="563" ht="15.75" customHeight="1">
      <c r="G563" s="63"/>
    </row>
    <row r="564" ht="15.75" customHeight="1">
      <c r="G564" s="63"/>
    </row>
    <row r="565" ht="15.75" customHeight="1">
      <c r="G565" s="63"/>
    </row>
    <row r="566" ht="15.75" customHeight="1">
      <c r="G566" s="63"/>
    </row>
    <row r="567" ht="15.75" customHeight="1">
      <c r="G567" s="63"/>
    </row>
    <row r="568" ht="15.75" customHeight="1">
      <c r="G568" s="63"/>
    </row>
    <row r="569" ht="15.75" customHeight="1">
      <c r="G569" s="63"/>
    </row>
    <row r="570" ht="15.75" customHeight="1">
      <c r="G570" s="63"/>
    </row>
    <row r="571" ht="15.75" customHeight="1">
      <c r="G571" s="63"/>
    </row>
    <row r="572" ht="15.75" customHeight="1">
      <c r="G572" s="63"/>
    </row>
    <row r="573" ht="15.75" customHeight="1">
      <c r="G573" s="63"/>
    </row>
    <row r="574" ht="15.75" customHeight="1">
      <c r="G574" s="63"/>
    </row>
    <row r="575" ht="15.75" customHeight="1">
      <c r="G575" s="63"/>
    </row>
    <row r="576" ht="15.75" customHeight="1">
      <c r="G576" s="63"/>
    </row>
    <row r="577" ht="15.75" customHeight="1">
      <c r="G577" s="63"/>
    </row>
    <row r="578" ht="15.75" customHeight="1">
      <c r="G578" s="63"/>
    </row>
    <row r="579" ht="15.75" customHeight="1">
      <c r="G579" s="63"/>
    </row>
    <row r="580" ht="15.75" customHeight="1">
      <c r="G580" s="63"/>
    </row>
    <row r="581" ht="15.75" customHeight="1">
      <c r="G581" s="63"/>
    </row>
    <row r="582" ht="15.75" customHeight="1">
      <c r="G582" s="63"/>
    </row>
    <row r="583" ht="15.75" customHeight="1">
      <c r="G583" s="63"/>
    </row>
    <row r="584" ht="15.75" customHeight="1">
      <c r="G584" s="63"/>
    </row>
    <row r="585" ht="15.75" customHeight="1">
      <c r="G585" s="63"/>
    </row>
    <row r="586" ht="15.75" customHeight="1">
      <c r="G586" s="63"/>
    </row>
    <row r="587" ht="15.75" customHeight="1">
      <c r="G587" s="63"/>
    </row>
    <row r="588" ht="15.75" customHeight="1">
      <c r="G588" s="63"/>
    </row>
    <row r="589" ht="15.75" customHeight="1">
      <c r="G589" s="63"/>
    </row>
    <row r="590" ht="15.75" customHeight="1">
      <c r="G590" s="63"/>
    </row>
    <row r="591" ht="15.75" customHeight="1">
      <c r="G591" s="63"/>
    </row>
    <row r="592" ht="15.75" customHeight="1">
      <c r="G592" s="63"/>
    </row>
    <row r="593" ht="15.75" customHeight="1">
      <c r="G593" s="63"/>
    </row>
    <row r="594" ht="15.75" customHeight="1">
      <c r="G594" s="63"/>
    </row>
    <row r="595" ht="15.75" customHeight="1">
      <c r="G595" s="63"/>
    </row>
    <row r="596" ht="15.75" customHeight="1">
      <c r="G596" s="63"/>
    </row>
    <row r="597" ht="15.75" customHeight="1">
      <c r="G597" s="63"/>
    </row>
    <row r="598" ht="15.75" customHeight="1">
      <c r="G598" s="63"/>
    </row>
    <row r="599" ht="15.75" customHeight="1">
      <c r="G599" s="63"/>
    </row>
    <row r="600" ht="15.75" customHeight="1">
      <c r="G600" s="63"/>
    </row>
    <row r="601" ht="15.75" customHeight="1">
      <c r="G601" s="63"/>
    </row>
    <row r="602" ht="15.75" customHeight="1">
      <c r="G602" s="63"/>
    </row>
    <row r="603" ht="15.75" customHeight="1">
      <c r="G603" s="63"/>
    </row>
    <row r="604" ht="15.75" customHeight="1">
      <c r="G604" s="63"/>
    </row>
    <row r="605" ht="15.75" customHeight="1">
      <c r="G605" s="63"/>
    </row>
    <row r="606" ht="15.75" customHeight="1">
      <c r="G606" s="63"/>
    </row>
    <row r="607" ht="15.75" customHeight="1">
      <c r="G607" s="63"/>
    </row>
    <row r="608" ht="15.75" customHeight="1">
      <c r="G608" s="63"/>
    </row>
    <row r="609" ht="15.75" customHeight="1">
      <c r="G609" s="63"/>
    </row>
    <row r="610" ht="15.75" customHeight="1">
      <c r="G610" s="63"/>
    </row>
    <row r="611" ht="15.75" customHeight="1">
      <c r="G611" s="63"/>
    </row>
    <row r="612" ht="15.75" customHeight="1">
      <c r="G612" s="63"/>
    </row>
    <row r="613" ht="15.75" customHeight="1">
      <c r="G613" s="63"/>
    </row>
    <row r="614" ht="15.75" customHeight="1">
      <c r="G614" s="63"/>
    </row>
    <row r="615" ht="15.75" customHeight="1">
      <c r="G615" s="63"/>
    </row>
    <row r="616" ht="15.75" customHeight="1">
      <c r="G616" s="63"/>
    </row>
    <row r="617" ht="15.75" customHeight="1">
      <c r="G617" s="63"/>
    </row>
    <row r="618" ht="15.75" customHeight="1">
      <c r="G618" s="63"/>
    </row>
    <row r="619" ht="15.75" customHeight="1">
      <c r="G619" s="63"/>
    </row>
    <row r="620" ht="15.75" customHeight="1">
      <c r="G620" s="63"/>
    </row>
    <row r="621" ht="15.75" customHeight="1">
      <c r="G621" s="63"/>
    </row>
    <row r="622" ht="15.75" customHeight="1">
      <c r="G622" s="63"/>
    </row>
    <row r="623" ht="15.75" customHeight="1">
      <c r="G623" s="63"/>
    </row>
    <row r="624" ht="15.75" customHeight="1">
      <c r="G624" s="63"/>
    </row>
    <row r="625" ht="15.75" customHeight="1">
      <c r="G625" s="63"/>
    </row>
    <row r="626" ht="15.75" customHeight="1">
      <c r="G626" s="63"/>
    </row>
    <row r="627" ht="15.75" customHeight="1">
      <c r="G627" s="63"/>
    </row>
    <row r="628" ht="15.75" customHeight="1">
      <c r="G628" s="63"/>
    </row>
    <row r="629" ht="15.75" customHeight="1">
      <c r="G629" s="63"/>
    </row>
    <row r="630" ht="15.75" customHeight="1">
      <c r="G630" s="63"/>
    </row>
    <row r="631" ht="15.75" customHeight="1">
      <c r="G631" s="63"/>
    </row>
    <row r="632" ht="15.75" customHeight="1">
      <c r="G632" s="63"/>
    </row>
    <row r="633" ht="15.75" customHeight="1">
      <c r="G633" s="63"/>
    </row>
    <row r="634" ht="15.75" customHeight="1">
      <c r="G634" s="63"/>
    </row>
    <row r="635" ht="15.75" customHeight="1">
      <c r="G635" s="63"/>
    </row>
    <row r="636" ht="15.75" customHeight="1">
      <c r="G636" s="63"/>
    </row>
    <row r="637" ht="15.75" customHeight="1">
      <c r="G637" s="63"/>
    </row>
    <row r="638" ht="15.75" customHeight="1">
      <c r="G638" s="63"/>
    </row>
    <row r="639" ht="15.75" customHeight="1">
      <c r="G639" s="63"/>
    </row>
    <row r="640" ht="15.75" customHeight="1">
      <c r="G640" s="63"/>
    </row>
    <row r="641" ht="15.75" customHeight="1">
      <c r="G641" s="63"/>
    </row>
    <row r="642" ht="15.75" customHeight="1">
      <c r="G642" s="63"/>
    </row>
    <row r="643" ht="15.75" customHeight="1">
      <c r="G643" s="63"/>
    </row>
    <row r="644" ht="15.75" customHeight="1">
      <c r="G644" s="63"/>
    </row>
    <row r="645" ht="15.75" customHeight="1">
      <c r="G645" s="63"/>
    </row>
    <row r="646" ht="15.75" customHeight="1">
      <c r="G646" s="63"/>
    </row>
    <row r="647" ht="15.75" customHeight="1">
      <c r="G647" s="63"/>
    </row>
    <row r="648" ht="15.75" customHeight="1">
      <c r="G648" s="63"/>
    </row>
    <row r="649" ht="15.75" customHeight="1">
      <c r="G649" s="63"/>
    </row>
    <row r="650" ht="15.75" customHeight="1">
      <c r="G650" s="63"/>
    </row>
    <row r="651" ht="15.75" customHeight="1">
      <c r="G651" s="63"/>
    </row>
    <row r="652" ht="15.75" customHeight="1">
      <c r="G652" s="63"/>
    </row>
    <row r="653" ht="15.75" customHeight="1">
      <c r="G653" s="63"/>
    </row>
    <row r="654" ht="15.75" customHeight="1">
      <c r="G654" s="63"/>
    </row>
    <row r="655" ht="15.75" customHeight="1">
      <c r="G655" s="63"/>
    </row>
    <row r="656" ht="15.75" customHeight="1">
      <c r="G656" s="63"/>
    </row>
    <row r="657" ht="15.75" customHeight="1">
      <c r="G657" s="63"/>
    </row>
    <row r="658" ht="15.75" customHeight="1">
      <c r="G658" s="63"/>
    </row>
    <row r="659" ht="15.75" customHeight="1">
      <c r="G659" s="63"/>
    </row>
    <row r="660" ht="15.75" customHeight="1">
      <c r="G660" s="63"/>
    </row>
    <row r="661" ht="15.75" customHeight="1">
      <c r="G661" s="63"/>
    </row>
    <row r="662" ht="15.75" customHeight="1">
      <c r="G662" s="63"/>
    </row>
    <row r="663" ht="15.75" customHeight="1">
      <c r="G663" s="63"/>
    </row>
    <row r="664" ht="15.75" customHeight="1">
      <c r="G664" s="63"/>
    </row>
    <row r="665" ht="15.75" customHeight="1">
      <c r="G665" s="63"/>
    </row>
    <row r="666" ht="15.75" customHeight="1">
      <c r="G666" s="63"/>
    </row>
    <row r="667" ht="15.75" customHeight="1">
      <c r="G667" s="63"/>
    </row>
    <row r="668" ht="15.75" customHeight="1">
      <c r="G668" s="63"/>
    </row>
    <row r="669" ht="15.75" customHeight="1">
      <c r="G669" s="63"/>
    </row>
    <row r="670" ht="15.75" customHeight="1">
      <c r="G670" s="63"/>
    </row>
    <row r="671" ht="15.75" customHeight="1">
      <c r="G671" s="63"/>
    </row>
    <row r="672" ht="15.75" customHeight="1">
      <c r="G672" s="63"/>
    </row>
    <row r="673" ht="15.75" customHeight="1">
      <c r="G673" s="63"/>
    </row>
    <row r="674" ht="15.75" customHeight="1">
      <c r="G674" s="63"/>
    </row>
    <row r="675" ht="15.75" customHeight="1">
      <c r="G675" s="63"/>
    </row>
    <row r="676" ht="15.75" customHeight="1">
      <c r="G676" s="63"/>
    </row>
    <row r="677" ht="15.75" customHeight="1">
      <c r="G677" s="63"/>
    </row>
    <row r="678" ht="15.75" customHeight="1">
      <c r="G678" s="63"/>
    </row>
    <row r="679" ht="15.75" customHeight="1">
      <c r="G679" s="63"/>
    </row>
    <row r="680" ht="15.75" customHeight="1">
      <c r="G680" s="63"/>
    </row>
    <row r="681" ht="15.75" customHeight="1">
      <c r="G681" s="63"/>
    </row>
    <row r="682" ht="15.75" customHeight="1">
      <c r="G682" s="63"/>
    </row>
    <row r="683" ht="15.75" customHeight="1">
      <c r="G683" s="63"/>
    </row>
    <row r="684" ht="15.75" customHeight="1">
      <c r="G684" s="63"/>
    </row>
    <row r="685" ht="15.75" customHeight="1">
      <c r="G685" s="63"/>
    </row>
    <row r="686" ht="15.75" customHeight="1">
      <c r="G686" s="63"/>
    </row>
    <row r="687" ht="15.75" customHeight="1">
      <c r="G687" s="63"/>
    </row>
    <row r="688" ht="15.75" customHeight="1">
      <c r="G688" s="63"/>
    </row>
    <row r="689" ht="15.75" customHeight="1">
      <c r="G689" s="63"/>
    </row>
    <row r="690" ht="15.75" customHeight="1">
      <c r="G690" s="63"/>
    </row>
    <row r="691" ht="15.75" customHeight="1">
      <c r="G691" s="63"/>
    </row>
    <row r="692" ht="15.75" customHeight="1">
      <c r="G692" s="63"/>
    </row>
    <row r="693" ht="15.75" customHeight="1">
      <c r="G693" s="63"/>
    </row>
    <row r="694" ht="15.75" customHeight="1">
      <c r="G694" s="63"/>
    </row>
    <row r="695" ht="15.75" customHeight="1">
      <c r="G695" s="63"/>
    </row>
    <row r="696" ht="15.75" customHeight="1">
      <c r="G696" s="63"/>
    </row>
    <row r="697" ht="15.75" customHeight="1">
      <c r="G697" s="63"/>
    </row>
    <row r="698" ht="15.75" customHeight="1">
      <c r="G698" s="63"/>
    </row>
    <row r="699" ht="15.75" customHeight="1">
      <c r="G699" s="63"/>
    </row>
    <row r="700" ht="15.75" customHeight="1">
      <c r="G700" s="63"/>
    </row>
    <row r="701" ht="15.75" customHeight="1">
      <c r="G701" s="63"/>
    </row>
    <row r="702" ht="15.75" customHeight="1">
      <c r="G702" s="63"/>
    </row>
    <row r="703" ht="15.75" customHeight="1">
      <c r="G703" s="63"/>
    </row>
    <row r="704" ht="15.75" customHeight="1">
      <c r="G704" s="63"/>
    </row>
    <row r="705" ht="15.75" customHeight="1">
      <c r="G705" s="63"/>
    </row>
    <row r="706" ht="15.75" customHeight="1">
      <c r="G706" s="63"/>
    </row>
    <row r="707" ht="15.75" customHeight="1">
      <c r="G707" s="63"/>
    </row>
    <row r="708" ht="15.75" customHeight="1">
      <c r="G708" s="63"/>
    </row>
    <row r="709" ht="15.75" customHeight="1">
      <c r="G709" s="63"/>
    </row>
    <row r="710" ht="15.75" customHeight="1">
      <c r="G710" s="63"/>
    </row>
    <row r="711" ht="15.75" customHeight="1">
      <c r="G711" s="63"/>
    </row>
    <row r="712" ht="15.75" customHeight="1">
      <c r="G712" s="63"/>
    </row>
    <row r="713" ht="15.75" customHeight="1">
      <c r="G713" s="63"/>
    </row>
    <row r="714" ht="15.75" customHeight="1">
      <c r="G714" s="63"/>
    </row>
    <row r="715" ht="15.75" customHeight="1">
      <c r="G715" s="63"/>
    </row>
    <row r="716" ht="15.75" customHeight="1">
      <c r="G716" s="63"/>
    </row>
    <row r="717" ht="15.75" customHeight="1">
      <c r="G717" s="63"/>
    </row>
    <row r="718" ht="15.75" customHeight="1">
      <c r="G718" s="63"/>
    </row>
    <row r="719" ht="15.75" customHeight="1">
      <c r="G719" s="63"/>
    </row>
    <row r="720" ht="15.75" customHeight="1">
      <c r="G720" s="63"/>
    </row>
    <row r="721" ht="15.75" customHeight="1">
      <c r="G721" s="63"/>
    </row>
    <row r="722" ht="15.75" customHeight="1">
      <c r="G722" s="63"/>
    </row>
    <row r="723" ht="15.75" customHeight="1">
      <c r="G723" s="63"/>
    </row>
    <row r="724" ht="15.75" customHeight="1">
      <c r="G724" s="63"/>
    </row>
    <row r="725" ht="15.75" customHeight="1">
      <c r="G725" s="63"/>
    </row>
    <row r="726" ht="15.75" customHeight="1">
      <c r="G726" s="63"/>
    </row>
    <row r="727" ht="15.75" customHeight="1">
      <c r="G727" s="63"/>
    </row>
    <row r="728" ht="15.75" customHeight="1">
      <c r="G728" s="63"/>
    </row>
    <row r="729" ht="15.75" customHeight="1">
      <c r="G729" s="63"/>
    </row>
    <row r="730" ht="15.75" customHeight="1">
      <c r="G730" s="63"/>
    </row>
    <row r="731" ht="15.75" customHeight="1">
      <c r="G731" s="63"/>
    </row>
    <row r="732" ht="15.75" customHeight="1">
      <c r="G732" s="63"/>
    </row>
    <row r="733" ht="15.75" customHeight="1">
      <c r="G733" s="63"/>
    </row>
    <row r="734" ht="15.75" customHeight="1">
      <c r="G734" s="63"/>
    </row>
    <row r="735" ht="15.75" customHeight="1">
      <c r="G735" s="63"/>
    </row>
    <row r="736" ht="15.75" customHeight="1">
      <c r="G736" s="63"/>
    </row>
    <row r="737" ht="15.75" customHeight="1">
      <c r="G737" s="63"/>
    </row>
    <row r="738" ht="15.75" customHeight="1">
      <c r="G738" s="63"/>
    </row>
    <row r="739" ht="15.75" customHeight="1">
      <c r="G739" s="63"/>
    </row>
    <row r="740" ht="15.75" customHeight="1">
      <c r="G740" s="63"/>
    </row>
    <row r="741" ht="15.75" customHeight="1">
      <c r="G741" s="63"/>
    </row>
    <row r="742" ht="15.75" customHeight="1">
      <c r="G742" s="63"/>
    </row>
    <row r="743" ht="15.75" customHeight="1">
      <c r="G743" s="63"/>
    </row>
    <row r="744" ht="15.75" customHeight="1">
      <c r="G744" s="63"/>
    </row>
    <row r="745" ht="15.75" customHeight="1">
      <c r="G745" s="63"/>
    </row>
    <row r="746" ht="15.75" customHeight="1">
      <c r="G746" s="63"/>
    </row>
    <row r="747" ht="15.75" customHeight="1">
      <c r="G747" s="63"/>
    </row>
    <row r="748" ht="15.75" customHeight="1">
      <c r="G748" s="63"/>
    </row>
    <row r="749" ht="15.75" customHeight="1">
      <c r="G749" s="63"/>
    </row>
    <row r="750" ht="15.75" customHeight="1">
      <c r="G750" s="63"/>
    </row>
    <row r="751" ht="15.75" customHeight="1">
      <c r="G751" s="63"/>
    </row>
    <row r="752" ht="15.75" customHeight="1">
      <c r="G752" s="63"/>
    </row>
    <row r="753" ht="15.75" customHeight="1">
      <c r="G753" s="63"/>
    </row>
    <row r="754" ht="15.75" customHeight="1">
      <c r="G754" s="63"/>
    </row>
    <row r="755" ht="15.75" customHeight="1">
      <c r="G755" s="63"/>
    </row>
    <row r="756" ht="15.75" customHeight="1">
      <c r="G756" s="63"/>
    </row>
    <row r="757" ht="15.75" customHeight="1">
      <c r="G757" s="63"/>
    </row>
    <row r="758" ht="15.75" customHeight="1">
      <c r="G758" s="63"/>
    </row>
    <row r="759" ht="15.75" customHeight="1">
      <c r="G759" s="63"/>
    </row>
    <row r="760" ht="15.75" customHeight="1">
      <c r="G760" s="63"/>
    </row>
    <row r="761" ht="15.75" customHeight="1">
      <c r="G761" s="63"/>
    </row>
    <row r="762" ht="15.75" customHeight="1">
      <c r="G762" s="63"/>
    </row>
    <row r="763" ht="15.75" customHeight="1">
      <c r="G763" s="63"/>
    </row>
    <row r="764" ht="15.75" customHeight="1">
      <c r="G764" s="63"/>
    </row>
    <row r="765" ht="15.75" customHeight="1">
      <c r="G765" s="63"/>
    </row>
    <row r="766" ht="15.75" customHeight="1">
      <c r="G766" s="63"/>
    </row>
    <row r="767" ht="15.75" customHeight="1">
      <c r="G767" s="63"/>
    </row>
    <row r="768" ht="15.75" customHeight="1">
      <c r="G768" s="63"/>
    </row>
    <row r="769" ht="15.75" customHeight="1">
      <c r="G769" s="63"/>
    </row>
    <row r="770" ht="15.75" customHeight="1">
      <c r="G770" s="63"/>
    </row>
    <row r="771" ht="15.75" customHeight="1">
      <c r="G771" s="63"/>
    </row>
    <row r="772" ht="15.75" customHeight="1">
      <c r="G772" s="63"/>
    </row>
    <row r="773" ht="15.75" customHeight="1">
      <c r="G773" s="63"/>
    </row>
    <row r="774" ht="15.75" customHeight="1">
      <c r="G774" s="63"/>
    </row>
    <row r="775" ht="15.75" customHeight="1">
      <c r="G775" s="63"/>
    </row>
    <row r="776" ht="15.75" customHeight="1">
      <c r="G776" s="63"/>
    </row>
    <row r="777" ht="15.75" customHeight="1">
      <c r="G777" s="63"/>
    </row>
    <row r="778" ht="15.75" customHeight="1">
      <c r="G778" s="63"/>
    </row>
    <row r="779" ht="15.75" customHeight="1">
      <c r="G779" s="63"/>
    </row>
    <row r="780" ht="15.75" customHeight="1">
      <c r="G780" s="63"/>
    </row>
    <row r="781" ht="15.75" customHeight="1">
      <c r="G781" s="63"/>
    </row>
    <row r="782" ht="15.75" customHeight="1">
      <c r="G782" s="63"/>
    </row>
    <row r="783" ht="15.75" customHeight="1">
      <c r="G783" s="63"/>
    </row>
    <row r="784" ht="15.75" customHeight="1">
      <c r="G784" s="63"/>
    </row>
    <row r="785" ht="15.75" customHeight="1">
      <c r="G785" s="63"/>
    </row>
    <row r="786" ht="15.75" customHeight="1">
      <c r="G786" s="63"/>
    </row>
    <row r="787" ht="15.75" customHeight="1">
      <c r="G787" s="63"/>
    </row>
    <row r="788" ht="15.75" customHeight="1">
      <c r="G788" s="63"/>
    </row>
    <row r="789" ht="15.75" customHeight="1">
      <c r="G789" s="63"/>
    </row>
    <row r="790" ht="15.75" customHeight="1">
      <c r="G790" s="63"/>
    </row>
    <row r="791" ht="15.75" customHeight="1">
      <c r="G791" s="63"/>
    </row>
    <row r="792" ht="15.75" customHeight="1">
      <c r="G792" s="63"/>
    </row>
    <row r="793" ht="15.75" customHeight="1">
      <c r="G793" s="63"/>
    </row>
    <row r="794" ht="15.75" customHeight="1">
      <c r="G794" s="63"/>
    </row>
    <row r="795" ht="15.75" customHeight="1">
      <c r="G795" s="63"/>
    </row>
    <row r="796" ht="15.75" customHeight="1">
      <c r="G796" s="63"/>
    </row>
    <row r="797" ht="15.75" customHeight="1">
      <c r="G797" s="63"/>
    </row>
    <row r="798" ht="15.75" customHeight="1">
      <c r="G798" s="63"/>
    </row>
    <row r="799" ht="15.75" customHeight="1">
      <c r="G799" s="63"/>
    </row>
    <row r="800" ht="15.75" customHeight="1">
      <c r="G800" s="63"/>
    </row>
    <row r="801" ht="15.75" customHeight="1">
      <c r="G801" s="63"/>
    </row>
    <row r="802" ht="15.75" customHeight="1">
      <c r="G802" s="63"/>
    </row>
    <row r="803" ht="15.75" customHeight="1">
      <c r="G803" s="63"/>
    </row>
    <row r="804" ht="15.75" customHeight="1">
      <c r="G804" s="63"/>
    </row>
    <row r="805" ht="15.75" customHeight="1">
      <c r="G805" s="63"/>
    </row>
    <row r="806" ht="15.75" customHeight="1">
      <c r="G806" s="63"/>
    </row>
    <row r="807" ht="15.75" customHeight="1">
      <c r="G807" s="63"/>
    </row>
    <row r="808" ht="15.75" customHeight="1">
      <c r="G808" s="63"/>
    </row>
    <row r="809" ht="15.75" customHeight="1">
      <c r="G809" s="63"/>
    </row>
    <row r="810" ht="15.75" customHeight="1">
      <c r="G810" s="63"/>
    </row>
    <row r="811" ht="15.75" customHeight="1">
      <c r="G811" s="63"/>
    </row>
    <row r="812" ht="15.75" customHeight="1">
      <c r="G812" s="63"/>
    </row>
    <row r="813" ht="15.75" customHeight="1">
      <c r="G813" s="63"/>
    </row>
    <row r="814" ht="15.75" customHeight="1">
      <c r="G814" s="63"/>
    </row>
    <row r="815" ht="15.75" customHeight="1">
      <c r="G815" s="63"/>
    </row>
    <row r="816" ht="15.75" customHeight="1">
      <c r="G816" s="63"/>
    </row>
    <row r="817" ht="15.75" customHeight="1">
      <c r="G817" s="63"/>
    </row>
    <row r="818" ht="15.75" customHeight="1">
      <c r="G818" s="63"/>
    </row>
    <row r="819" ht="15.75" customHeight="1">
      <c r="G819" s="63"/>
    </row>
    <row r="820" ht="15.75" customHeight="1">
      <c r="G820" s="63"/>
    </row>
    <row r="821" ht="15.75" customHeight="1">
      <c r="G821" s="63"/>
    </row>
    <row r="822" ht="15.75" customHeight="1">
      <c r="G822" s="63"/>
    </row>
    <row r="823" ht="15.75" customHeight="1">
      <c r="G823" s="63"/>
    </row>
    <row r="824" ht="15.75" customHeight="1">
      <c r="G824" s="63"/>
    </row>
    <row r="825" ht="15.75" customHeight="1">
      <c r="G825" s="63"/>
    </row>
    <row r="826" ht="15.75" customHeight="1">
      <c r="G826" s="63"/>
    </row>
    <row r="827" ht="15.75" customHeight="1">
      <c r="G827" s="63"/>
    </row>
    <row r="828" ht="15.75" customHeight="1">
      <c r="G828" s="63"/>
    </row>
    <row r="829" ht="15.75" customHeight="1">
      <c r="G829" s="63"/>
    </row>
    <row r="830" ht="15.75" customHeight="1">
      <c r="G830" s="63"/>
    </row>
    <row r="831" ht="15.75" customHeight="1">
      <c r="G831" s="63"/>
    </row>
    <row r="832" ht="15.75" customHeight="1">
      <c r="G832" s="63"/>
    </row>
    <row r="833" ht="15.75" customHeight="1">
      <c r="G833" s="63"/>
    </row>
    <row r="834" ht="15.75" customHeight="1">
      <c r="G834" s="63"/>
    </row>
    <row r="835" ht="15.75" customHeight="1">
      <c r="G835" s="63"/>
    </row>
    <row r="836" ht="15.75" customHeight="1">
      <c r="G836" s="63"/>
    </row>
    <row r="837" ht="15.75" customHeight="1">
      <c r="G837" s="63"/>
    </row>
    <row r="838" ht="15.75" customHeight="1">
      <c r="G838" s="63"/>
    </row>
    <row r="839" ht="15.75" customHeight="1">
      <c r="G839" s="63"/>
    </row>
    <row r="840" ht="15.75" customHeight="1">
      <c r="G840" s="63"/>
    </row>
    <row r="841" ht="15.75" customHeight="1">
      <c r="G841" s="63"/>
    </row>
    <row r="842" ht="15.75" customHeight="1">
      <c r="G842" s="63"/>
    </row>
    <row r="843" ht="15.75" customHeight="1">
      <c r="G843" s="63"/>
    </row>
    <row r="844" ht="15.75" customHeight="1">
      <c r="G844" s="63"/>
    </row>
    <row r="845" ht="15.75" customHeight="1">
      <c r="G845" s="63"/>
    </row>
    <row r="846" ht="15.75" customHeight="1">
      <c r="G846" s="63"/>
    </row>
    <row r="847" ht="15.75" customHeight="1">
      <c r="G847" s="63"/>
    </row>
    <row r="848" ht="15.75" customHeight="1">
      <c r="G848" s="63"/>
    </row>
    <row r="849" ht="15.75" customHeight="1">
      <c r="G849" s="63"/>
    </row>
    <row r="850" ht="15.75" customHeight="1">
      <c r="G850" s="63"/>
    </row>
    <row r="851" ht="15.75" customHeight="1">
      <c r="G851" s="63"/>
    </row>
    <row r="852" ht="15.75" customHeight="1">
      <c r="G852" s="63"/>
    </row>
    <row r="853" ht="15.75" customHeight="1">
      <c r="G853" s="63"/>
    </row>
    <row r="854" ht="15.75" customHeight="1">
      <c r="G854" s="63"/>
    </row>
    <row r="855" ht="15.75" customHeight="1">
      <c r="G855" s="63"/>
    </row>
    <row r="856" ht="15.75" customHeight="1">
      <c r="G856" s="63"/>
    </row>
    <row r="857" ht="15.75" customHeight="1">
      <c r="G857" s="63"/>
    </row>
    <row r="858" ht="15.75" customHeight="1">
      <c r="G858" s="63"/>
    </row>
    <row r="859" ht="15.75" customHeight="1">
      <c r="G859" s="63"/>
    </row>
    <row r="860" ht="15.75" customHeight="1">
      <c r="G860" s="63"/>
    </row>
    <row r="861" ht="15.75" customHeight="1">
      <c r="G861" s="63"/>
    </row>
    <row r="862" ht="15.75" customHeight="1">
      <c r="G862" s="63"/>
    </row>
    <row r="863" ht="15.75" customHeight="1">
      <c r="G863" s="63"/>
    </row>
    <row r="864" ht="15.75" customHeight="1">
      <c r="G864" s="63"/>
    </row>
    <row r="865" ht="15.75" customHeight="1">
      <c r="G865" s="63"/>
    </row>
    <row r="866" ht="15.75" customHeight="1">
      <c r="G866" s="63"/>
    </row>
    <row r="867" ht="15.75" customHeight="1">
      <c r="G867" s="63"/>
    </row>
    <row r="868" ht="15.75" customHeight="1">
      <c r="G868" s="63"/>
    </row>
    <row r="869" ht="15.75" customHeight="1">
      <c r="G869" s="63"/>
    </row>
    <row r="870" ht="15.75" customHeight="1">
      <c r="G870" s="63"/>
    </row>
    <row r="871" ht="15.75" customHeight="1">
      <c r="G871" s="63"/>
    </row>
    <row r="872" ht="15.75" customHeight="1">
      <c r="G872" s="63"/>
    </row>
    <row r="873" ht="15.75" customHeight="1">
      <c r="G873" s="63"/>
    </row>
    <row r="874" ht="15.75" customHeight="1">
      <c r="G874" s="63"/>
    </row>
    <row r="875" ht="15.75" customHeight="1">
      <c r="G875" s="63"/>
    </row>
    <row r="876" ht="15.75" customHeight="1">
      <c r="G876" s="63"/>
    </row>
    <row r="877" ht="15.75" customHeight="1">
      <c r="G877" s="63"/>
    </row>
    <row r="878" ht="15.75" customHeight="1">
      <c r="G878" s="63"/>
    </row>
    <row r="879" ht="15.75" customHeight="1">
      <c r="G879" s="63"/>
    </row>
    <row r="880" ht="15.75" customHeight="1">
      <c r="G880" s="63"/>
    </row>
    <row r="881" ht="15.75" customHeight="1">
      <c r="G881" s="63"/>
    </row>
    <row r="882" ht="15.75" customHeight="1">
      <c r="G882" s="63"/>
    </row>
    <row r="883" ht="15.75" customHeight="1">
      <c r="G883" s="63"/>
    </row>
    <row r="884" ht="15.75" customHeight="1">
      <c r="G884" s="63"/>
    </row>
    <row r="885" ht="15.75" customHeight="1">
      <c r="G885" s="63"/>
    </row>
    <row r="886" ht="15.75" customHeight="1">
      <c r="G886" s="63"/>
    </row>
    <row r="887" ht="15.75" customHeight="1">
      <c r="G887" s="63"/>
    </row>
    <row r="888" ht="15.75" customHeight="1">
      <c r="G888" s="63"/>
    </row>
    <row r="889" ht="15.75" customHeight="1">
      <c r="G889" s="63"/>
    </row>
    <row r="890" ht="15.75" customHeight="1">
      <c r="G890" s="63"/>
    </row>
    <row r="891" ht="15.75" customHeight="1">
      <c r="G891" s="63"/>
    </row>
    <row r="892" ht="15.75" customHeight="1">
      <c r="G892" s="63"/>
    </row>
    <row r="893" ht="15.75" customHeight="1">
      <c r="G893" s="63"/>
    </row>
    <row r="894" ht="15.75" customHeight="1">
      <c r="G894" s="63"/>
    </row>
    <row r="895" ht="15.75" customHeight="1">
      <c r="G895" s="63"/>
    </row>
    <row r="896" ht="15.75" customHeight="1">
      <c r="G896" s="63"/>
    </row>
    <row r="897" ht="15.75" customHeight="1">
      <c r="G897" s="63"/>
    </row>
    <row r="898" ht="15.75" customHeight="1">
      <c r="G898" s="63"/>
    </row>
    <row r="899" ht="15.75" customHeight="1">
      <c r="G899" s="63"/>
    </row>
    <row r="900" ht="15.75" customHeight="1">
      <c r="G900" s="63"/>
    </row>
    <row r="901" ht="15.75" customHeight="1">
      <c r="G901" s="63"/>
    </row>
    <row r="902" ht="15.75" customHeight="1">
      <c r="G902" s="63"/>
    </row>
    <row r="903" ht="15.75" customHeight="1">
      <c r="G903" s="63"/>
    </row>
    <row r="904" ht="15.75" customHeight="1">
      <c r="G904" s="63"/>
    </row>
    <row r="905" ht="15.75" customHeight="1">
      <c r="G905" s="63"/>
    </row>
    <row r="906" ht="15.75" customHeight="1">
      <c r="G906" s="63"/>
    </row>
    <row r="907" ht="15.75" customHeight="1">
      <c r="G907" s="63"/>
    </row>
    <row r="908" ht="15.75" customHeight="1">
      <c r="G908" s="63"/>
    </row>
    <row r="909" ht="15.75" customHeight="1">
      <c r="G909" s="63"/>
    </row>
    <row r="910" ht="15.75" customHeight="1">
      <c r="G910" s="63"/>
    </row>
    <row r="911" ht="15.75" customHeight="1">
      <c r="G911" s="63"/>
    </row>
    <row r="912" ht="15.75" customHeight="1">
      <c r="G912" s="63"/>
    </row>
    <row r="913" ht="15.75" customHeight="1">
      <c r="G913" s="63"/>
    </row>
    <row r="914" ht="15.75" customHeight="1">
      <c r="G914" s="63"/>
    </row>
    <row r="915" ht="15.75" customHeight="1">
      <c r="G915" s="63"/>
    </row>
    <row r="916" ht="15.75" customHeight="1">
      <c r="G916" s="63"/>
    </row>
    <row r="917" ht="15.75" customHeight="1">
      <c r="G917" s="63"/>
    </row>
    <row r="918" ht="15.75" customHeight="1">
      <c r="G918" s="63"/>
    </row>
    <row r="919" ht="15.75" customHeight="1">
      <c r="G919" s="63"/>
    </row>
    <row r="920" ht="15.75" customHeight="1">
      <c r="G920" s="63"/>
    </row>
    <row r="921" ht="15.75" customHeight="1">
      <c r="G921" s="63"/>
    </row>
    <row r="922" ht="15.75" customHeight="1">
      <c r="G922" s="63"/>
    </row>
    <row r="923" ht="15.75" customHeight="1">
      <c r="G923" s="63"/>
    </row>
    <row r="924" ht="15.75" customHeight="1">
      <c r="G924" s="63"/>
    </row>
    <row r="925" ht="15.75" customHeight="1">
      <c r="G925" s="63"/>
    </row>
    <row r="926" ht="15.75" customHeight="1">
      <c r="G926" s="63"/>
    </row>
    <row r="927" ht="15.75" customHeight="1">
      <c r="G927" s="63"/>
    </row>
    <row r="928" ht="15.75" customHeight="1">
      <c r="G928" s="63"/>
    </row>
    <row r="929" ht="15.75" customHeight="1">
      <c r="G929" s="63"/>
    </row>
    <row r="930" ht="15.75" customHeight="1">
      <c r="G930" s="63"/>
    </row>
    <row r="931" ht="15.75" customHeight="1">
      <c r="G931" s="63"/>
    </row>
    <row r="932" ht="15.75" customHeight="1">
      <c r="G932" s="63"/>
    </row>
    <row r="933" ht="15.75" customHeight="1">
      <c r="G933" s="63"/>
    </row>
    <row r="934" ht="15.75" customHeight="1">
      <c r="G934" s="63"/>
    </row>
    <row r="935" ht="15.75" customHeight="1">
      <c r="G935" s="63"/>
    </row>
    <row r="936" ht="15.75" customHeight="1">
      <c r="G936" s="63"/>
    </row>
    <row r="937" ht="15.75" customHeight="1">
      <c r="G937" s="63"/>
    </row>
    <row r="938" ht="15.75" customHeight="1">
      <c r="G938" s="63"/>
    </row>
    <row r="939" ht="15.75" customHeight="1">
      <c r="G939" s="63"/>
    </row>
    <row r="940" ht="15.75" customHeight="1">
      <c r="G940" s="63"/>
    </row>
    <row r="941" ht="15.75" customHeight="1">
      <c r="G941" s="63"/>
    </row>
    <row r="942" ht="15.75" customHeight="1">
      <c r="G942" s="63"/>
    </row>
    <row r="943" ht="15.75" customHeight="1">
      <c r="G943" s="63"/>
    </row>
    <row r="944" ht="15.75" customHeight="1">
      <c r="G944" s="63"/>
    </row>
    <row r="945" ht="15.75" customHeight="1">
      <c r="G945" s="63"/>
    </row>
    <row r="946" ht="15.75" customHeight="1">
      <c r="G946" s="63"/>
    </row>
    <row r="947" ht="15.75" customHeight="1">
      <c r="G947" s="63"/>
    </row>
    <row r="948" ht="15.75" customHeight="1">
      <c r="G948" s="63"/>
    </row>
    <row r="949" ht="15.75" customHeight="1">
      <c r="G949" s="63"/>
    </row>
    <row r="950" ht="15.75" customHeight="1">
      <c r="G950" s="63"/>
    </row>
    <row r="951" ht="15.75" customHeight="1">
      <c r="G951" s="63"/>
    </row>
    <row r="952" ht="15.75" customHeight="1">
      <c r="G952" s="63"/>
    </row>
    <row r="953" ht="15.75" customHeight="1">
      <c r="G953" s="63"/>
    </row>
    <row r="954" ht="15.75" customHeight="1">
      <c r="G954" s="63"/>
    </row>
    <row r="955" ht="15.75" customHeight="1">
      <c r="G955" s="63"/>
    </row>
    <row r="956" ht="15.75" customHeight="1">
      <c r="G956" s="63"/>
    </row>
    <row r="957" ht="15.75" customHeight="1">
      <c r="G957" s="63"/>
    </row>
    <row r="958" ht="15.75" customHeight="1">
      <c r="G958" s="63"/>
    </row>
    <row r="959" ht="15.75" customHeight="1">
      <c r="G959" s="63"/>
    </row>
    <row r="960" ht="15.75" customHeight="1">
      <c r="G960" s="63"/>
    </row>
    <row r="961" ht="15.75" customHeight="1">
      <c r="G961" s="63"/>
    </row>
    <row r="962" ht="15.75" customHeight="1">
      <c r="G962" s="63"/>
    </row>
    <row r="963" ht="15.75" customHeight="1">
      <c r="G963" s="63"/>
    </row>
    <row r="964" ht="15.75" customHeight="1">
      <c r="G964" s="63"/>
    </row>
    <row r="965" ht="15.75" customHeight="1">
      <c r="G965" s="63"/>
    </row>
    <row r="966" ht="15.75" customHeight="1">
      <c r="G966" s="63"/>
    </row>
    <row r="967" ht="15.75" customHeight="1">
      <c r="G967" s="63"/>
    </row>
    <row r="968" ht="15.75" customHeight="1">
      <c r="G968" s="63"/>
    </row>
    <row r="969" ht="15.75" customHeight="1">
      <c r="G969" s="63"/>
    </row>
    <row r="970" ht="15.75" customHeight="1">
      <c r="G970" s="63"/>
    </row>
    <row r="971" ht="15.75" customHeight="1">
      <c r="G971" s="63"/>
    </row>
    <row r="972" ht="15.75" customHeight="1">
      <c r="G972" s="63"/>
    </row>
    <row r="973" ht="15.75" customHeight="1">
      <c r="G973" s="63"/>
    </row>
    <row r="974" ht="15.75" customHeight="1">
      <c r="G974" s="63"/>
    </row>
    <row r="975" ht="15.75" customHeight="1">
      <c r="G975" s="63"/>
    </row>
    <row r="976" ht="15.75" customHeight="1">
      <c r="G976" s="63"/>
    </row>
    <row r="977" ht="15.75" customHeight="1">
      <c r="G977" s="63"/>
    </row>
    <row r="978" ht="15.75" customHeight="1">
      <c r="G978" s="63"/>
    </row>
    <row r="979" ht="15.75" customHeight="1">
      <c r="G979" s="63"/>
    </row>
    <row r="980" ht="15.75" customHeight="1">
      <c r="G980" s="63"/>
    </row>
    <row r="981" ht="15.75" customHeight="1">
      <c r="G981" s="63"/>
    </row>
    <row r="982" ht="15.75" customHeight="1">
      <c r="G982" s="63"/>
    </row>
    <row r="983" ht="15.75" customHeight="1">
      <c r="G983" s="63"/>
    </row>
    <row r="984" ht="15.75" customHeight="1">
      <c r="G984" s="63"/>
    </row>
    <row r="985" ht="15.75" customHeight="1">
      <c r="G985" s="63"/>
    </row>
    <row r="986" ht="15.75" customHeight="1">
      <c r="G986" s="63"/>
    </row>
    <row r="987" ht="15.75" customHeight="1">
      <c r="G987" s="63"/>
    </row>
    <row r="988" ht="15.75" customHeight="1">
      <c r="G988" s="63"/>
    </row>
    <row r="989" ht="15.75" customHeight="1">
      <c r="G989" s="63"/>
    </row>
    <row r="990" ht="15.75" customHeight="1">
      <c r="G990" s="63"/>
    </row>
    <row r="991" ht="15.75" customHeight="1">
      <c r="G991" s="63"/>
    </row>
    <row r="992" ht="15.75" customHeight="1">
      <c r="G992" s="63"/>
    </row>
    <row r="993" ht="15.75" customHeight="1">
      <c r="G993" s="63"/>
    </row>
    <row r="994" ht="15.75" customHeight="1">
      <c r="G994" s="63"/>
    </row>
    <row r="995" ht="15.75" customHeight="1">
      <c r="G995" s="63"/>
    </row>
    <row r="996" ht="15.75" customHeight="1">
      <c r="G996" s="63"/>
    </row>
    <row r="997" ht="15.75" customHeight="1">
      <c r="G997" s="63"/>
    </row>
    <row r="998" ht="15.75" customHeight="1">
      <c r="G998" s="63"/>
    </row>
    <row r="999" ht="15.75" customHeight="1">
      <c r="G999" s="63"/>
    </row>
    <row r="1000" ht="15.75" customHeight="1">
      <c r="G1000" s="63"/>
    </row>
    <row r="1001" ht="15.75" customHeight="1">
      <c r="G1001" s="63"/>
    </row>
  </sheetData>
  <conditionalFormatting sqref="C2:C1001">
    <cfRule type="cellIs" dxfId="0" priority="1" operator="greaterThanOrEqual">
      <formula>8</formula>
    </cfRule>
  </conditionalFormatting>
  <conditionalFormatting sqref="C2:C1001">
    <cfRule type="cellIs" dxfId="1" priority="2" operator="between">
      <formula>7</formula>
      <formula>7.99</formula>
    </cfRule>
  </conditionalFormatting>
  <conditionalFormatting sqref="C2:C1001">
    <cfRule type="cellIs" dxfId="2" priority="3" operator="lessThan">
      <formula>7</formula>
    </cfRule>
  </conditionalFormatting>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B82F6"/>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3.0"/>
    <col customWidth="1" min="2" max="2" width="32.0"/>
    <col customWidth="1" min="3" max="3" width="12.0"/>
    <col customWidth="1" min="4" max="4" width="8.0"/>
    <col customWidth="1" min="5" max="5" width="22.0"/>
    <col customWidth="1" min="6" max="6" width="14.0"/>
    <col customWidth="1" min="7" max="7" width="8.0"/>
  </cols>
  <sheetData>
    <row r="1" ht="18.0" customHeight="1">
      <c r="A1" s="2" t="s">
        <v>0</v>
      </c>
      <c r="B1" s="2" t="s">
        <v>11</v>
      </c>
      <c r="C1" s="2" t="s">
        <v>8</v>
      </c>
      <c r="D1" s="2" t="s">
        <v>2</v>
      </c>
      <c r="E1" s="2" t="s">
        <v>9</v>
      </c>
      <c r="F1" s="2" t="s">
        <v>10</v>
      </c>
      <c r="G1" s="11">
        <f>COUNTA(A:A)-1</f>
        <v>38</v>
      </c>
    </row>
    <row r="2" ht="18.0" customHeight="1">
      <c r="A2" s="12">
        <v>45689.0</v>
      </c>
      <c r="B2" s="14" t="s">
        <v>20</v>
      </c>
      <c r="C2" s="14" t="s">
        <v>22</v>
      </c>
      <c r="D2" s="15">
        <v>7.8</v>
      </c>
      <c r="E2" s="14"/>
      <c r="F2" s="17" t="s">
        <v>28</v>
      </c>
      <c r="G2" s="18">
        <f>IFERROR(AVERAGE(D2:D10000),0)</f>
        <v>8.563157895</v>
      </c>
    </row>
    <row r="3" ht="18.0" customHeight="1">
      <c r="A3" s="19">
        <v>45695.0</v>
      </c>
      <c r="B3" s="21" t="s">
        <v>20</v>
      </c>
      <c r="C3" s="21" t="s">
        <v>29</v>
      </c>
      <c r="D3" s="23">
        <v>9.0</v>
      </c>
      <c r="E3" s="21"/>
      <c r="F3" s="25"/>
      <c r="G3" s="25"/>
    </row>
    <row r="4" ht="18.0" customHeight="1">
      <c r="A4" s="12">
        <v>45730.0</v>
      </c>
      <c r="B4" s="14" t="s">
        <v>33</v>
      </c>
      <c r="C4" s="14" t="s">
        <v>34</v>
      </c>
      <c r="D4" s="15">
        <v>9.2</v>
      </c>
      <c r="E4" s="14"/>
      <c r="F4" s="25"/>
      <c r="G4" s="25"/>
    </row>
    <row r="5" ht="18.0" customHeight="1">
      <c r="A5" s="20">
        <v>45749.0</v>
      </c>
      <c r="B5" s="24" t="s">
        <v>35</v>
      </c>
      <c r="C5" s="24" t="s">
        <v>24</v>
      </c>
      <c r="D5" s="26">
        <v>8.2</v>
      </c>
      <c r="E5" s="24"/>
      <c r="F5" s="25"/>
      <c r="G5" s="25"/>
    </row>
    <row r="6" ht="18.0" customHeight="1">
      <c r="A6" s="12">
        <v>45755.0</v>
      </c>
      <c r="B6" s="14" t="s">
        <v>35</v>
      </c>
      <c r="C6" s="14" t="s">
        <v>37</v>
      </c>
      <c r="D6" s="15">
        <v>8.2</v>
      </c>
      <c r="E6" s="14"/>
      <c r="F6" s="25"/>
      <c r="G6" s="25"/>
    </row>
    <row r="7" ht="18.0" customHeight="1">
      <c r="A7" s="20">
        <v>45770.0</v>
      </c>
      <c r="B7" s="24" t="s">
        <v>35</v>
      </c>
      <c r="C7" s="24" t="s">
        <v>34</v>
      </c>
      <c r="D7" s="26">
        <v>8.0</v>
      </c>
      <c r="E7" s="24"/>
      <c r="F7" s="25"/>
      <c r="G7" s="25"/>
    </row>
    <row r="8" ht="18.0" customHeight="1">
      <c r="A8" s="12">
        <v>45826.0</v>
      </c>
      <c r="B8" s="14" t="s">
        <v>40</v>
      </c>
      <c r="C8" s="14" t="s">
        <v>24</v>
      </c>
      <c r="D8" s="15">
        <v>7.2</v>
      </c>
      <c r="E8" s="14"/>
      <c r="F8" s="25"/>
      <c r="G8" s="25"/>
    </row>
    <row r="9" ht="18.0" customHeight="1">
      <c r="A9" s="20">
        <v>45850.0</v>
      </c>
      <c r="B9" s="24" t="s">
        <v>41</v>
      </c>
      <c r="C9" s="24" t="s">
        <v>34</v>
      </c>
      <c r="D9" s="26">
        <v>8.0</v>
      </c>
      <c r="E9" s="24"/>
      <c r="F9" s="25"/>
      <c r="G9" s="25"/>
    </row>
    <row r="10" ht="18.0" customHeight="1">
      <c r="A10" s="19">
        <v>45850.0</v>
      </c>
      <c r="B10" s="21" t="s">
        <v>41</v>
      </c>
      <c r="C10" s="21" t="s">
        <v>29</v>
      </c>
      <c r="D10" s="23">
        <v>8.0</v>
      </c>
      <c r="E10" s="21"/>
      <c r="F10" s="25"/>
      <c r="G10" s="25"/>
    </row>
    <row r="11" ht="18.0" customHeight="1">
      <c r="A11" s="20">
        <v>45860.0</v>
      </c>
      <c r="B11" s="24" t="s">
        <v>44</v>
      </c>
      <c r="C11" s="24" t="s">
        <v>24</v>
      </c>
      <c r="D11" s="26">
        <v>9.0</v>
      </c>
      <c r="E11" s="24"/>
      <c r="F11" s="25"/>
      <c r="G11" s="25"/>
    </row>
    <row r="12" ht="18.0" customHeight="1">
      <c r="A12" s="12">
        <v>45899.0</v>
      </c>
      <c r="B12" s="14" t="s">
        <v>48</v>
      </c>
      <c r="C12" s="14" t="s">
        <v>24</v>
      </c>
      <c r="D12" s="15">
        <v>9.0</v>
      </c>
      <c r="E12" s="14"/>
      <c r="F12" s="25"/>
      <c r="G12" s="25"/>
    </row>
    <row r="13" ht="18.0" customHeight="1">
      <c r="A13" s="20">
        <v>45905.0</v>
      </c>
      <c r="B13" s="24" t="s">
        <v>48</v>
      </c>
      <c r="C13" s="24" t="s">
        <v>37</v>
      </c>
      <c r="D13" s="26">
        <v>9.3</v>
      </c>
      <c r="E13" s="24"/>
      <c r="F13" s="25"/>
      <c r="G13" s="25"/>
    </row>
    <row r="14" ht="18.0" customHeight="1">
      <c r="A14" s="12">
        <v>45911.0</v>
      </c>
      <c r="B14" s="14" t="s">
        <v>48</v>
      </c>
      <c r="C14" s="14" t="s">
        <v>34</v>
      </c>
      <c r="D14" s="15">
        <v>9.3</v>
      </c>
      <c r="E14" s="14"/>
      <c r="F14" s="25"/>
      <c r="G14" s="25"/>
    </row>
    <row r="15" ht="18.0" customHeight="1">
      <c r="A15" s="20">
        <v>45913.0</v>
      </c>
      <c r="B15" s="24" t="s">
        <v>48</v>
      </c>
      <c r="C15" s="24" t="s">
        <v>49</v>
      </c>
      <c r="D15" s="26">
        <v>9.5</v>
      </c>
      <c r="E15" s="24"/>
      <c r="F15" s="25"/>
      <c r="G15" s="25"/>
    </row>
    <row r="16" ht="18.0" customHeight="1">
      <c r="A16" s="12">
        <v>45921.0</v>
      </c>
      <c r="B16" s="14" t="s">
        <v>48</v>
      </c>
      <c r="C16" s="14" t="s">
        <v>51</v>
      </c>
      <c r="D16" s="15">
        <v>9.0</v>
      </c>
      <c r="E16" s="14"/>
      <c r="F16" s="25"/>
      <c r="G16" s="25"/>
    </row>
    <row r="17" ht="18.0" customHeight="1">
      <c r="A17" s="20">
        <v>45944.0</v>
      </c>
      <c r="B17" s="24" t="s">
        <v>48</v>
      </c>
      <c r="C17" s="24" t="s">
        <v>52</v>
      </c>
      <c r="D17" s="26">
        <v>9.2</v>
      </c>
      <c r="E17" s="24"/>
      <c r="F17" s="25"/>
      <c r="G17" s="25"/>
    </row>
    <row r="18" ht="18.0" customHeight="1">
      <c r="A18" s="12">
        <v>45966.0</v>
      </c>
      <c r="B18" s="14" t="s">
        <v>54</v>
      </c>
      <c r="C18" s="14" t="s">
        <v>34</v>
      </c>
      <c r="D18" s="15">
        <v>6.2</v>
      </c>
      <c r="E18" s="14"/>
      <c r="F18" s="25"/>
      <c r="G18" s="25"/>
    </row>
    <row r="19" ht="18.0" customHeight="1">
      <c r="A19" s="20">
        <v>45970.0</v>
      </c>
      <c r="B19" s="24" t="s">
        <v>56</v>
      </c>
      <c r="C19" s="24" t="s">
        <v>24</v>
      </c>
      <c r="D19" s="26">
        <v>8.5</v>
      </c>
      <c r="E19" s="24"/>
      <c r="F19" s="25"/>
      <c r="G19" s="25"/>
    </row>
    <row r="20" ht="18.0" customHeight="1">
      <c r="A20" s="12">
        <v>45971.0</v>
      </c>
      <c r="B20" s="14" t="s">
        <v>56</v>
      </c>
      <c r="C20" s="14" t="s">
        <v>37</v>
      </c>
      <c r="D20" s="15">
        <v>8.2</v>
      </c>
      <c r="E20" s="14"/>
      <c r="F20" s="25"/>
      <c r="G20" s="25"/>
    </row>
    <row r="21" ht="18.0" customHeight="1">
      <c r="A21" s="20">
        <v>45975.0</v>
      </c>
      <c r="B21" s="24" t="s">
        <v>56</v>
      </c>
      <c r="C21" s="24" t="s">
        <v>34</v>
      </c>
      <c r="D21" s="26">
        <v>8.5</v>
      </c>
      <c r="E21" s="24"/>
      <c r="F21" s="25"/>
      <c r="G21" s="25"/>
    </row>
    <row r="22" ht="18.0" customHeight="1">
      <c r="A22" s="12">
        <v>45980.0</v>
      </c>
      <c r="B22" s="14" t="s">
        <v>56</v>
      </c>
      <c r="C22" s="14" t="s">
        <v>49</v>
      </c>
      <c r="D22" s="15">
        <v>8.5</v>
      </c>
      <c r="E22" s="14"/>
      <c r="F22" s="25"/>
      <c r="G22" s="25"/>
    </row>
    <row r="23" ht="18.0" customHeight="1">
      <c r="A23" s="20">
        <v>45983.0</v>
      </c>
      <c r="B23" s="24" t="s">
        <v>56</v>
      </c>
      <c r="C23" s="24" t="s">
        <v>51</v>
      </c>
      <c r="D23" s="26">
        <v>8.7</v>
      </c>
      <c r="E23" s="24"/>
      <c r="F23" s="25"/>
      <c r="G23" s="25"/>
    </row>
    <row r="24" ht="18.0" customHeight="1">
      <c r="A24" s="12">
        <v>45986.0</v>
      </c>
      <c r="B24" s="14" t="s">
        <v>56</v>
      </c>
      <c r="C24" s="14" t="s">
        <v>52</v>
      </c>
      <c r="D24" s="15">
        <v>8.7</v>
      </c>
      <c r="E24" s="14"/>
      <c r="F24" s="25"/>
      <c r="G24" s="25"/>
    </row>
    <row r="25" ht="18.0" customHeight="1">
      <c r="A25" s="20">
        <v>45994.0</v>
      </c>
      <c r="B25" s="24" t="s">
        <v>56</v>
      </c>
      <c r="C25" s="24" t="s">
        <v>65</v>
      </c>
      <c r="D25" s="26">
        <v>8.4</v>
      </c>
      <c r="E25" s="24"/>
      <c r="F25" s="25"/>
      <c r="G25" s="25"/>
    </row>
    <row r="26" ht="18.0" customHeight="1">
      <c r="A26" s="12">
        <v>46008.0</v>
      </c>
      <c r="B26" s="14" t="s">
        <v>56</v>
      </c>
      <c r="C26" s="14" t="s">
        <v>22</v>
      </c>
      <c r="D26" s="15">
        <v>8.0</v>
      </c>
      <c r="E26" s="14"/>
      <c r="F26" s="25"/>
      <c r="G26" s="25"/>
    </row>
    <row r="27" ht="18.0" customHeight="1">
      <c r="A27" s="20">
        <v>46011.0</v>
      </c>
      <c r="B27" s="24" t="s">
        <v>48</v>
      </c>
      <c r="C27" s="24" t="s">
        <v>65</v>
      </c>
      <c r="D27" s="26">
        <v>9.0</v>
      </c>
      <c r="E27" s="24"/>
      <c r="F27" s="25"/>
      <c r="G27" s="25"/>
    </row>
    <row r="28" ht="18.0" customHeight="1">
      <c r="A28" s="12">
        <v>46015.0</v>
      </c>
      <c r="B28" s="14" t="s">
        <v>69</v>
      </c>
      <c r="C28" s="14" t="s">
        <v>24</v>
      </c>
      <c r="D28" s="15">
        <v>8.5</v>
      </c>
      <c r="E28" s="14"/>
      <c r="F28" s="25"/>
      <c r="G28" s="25"/>
    </row>
    <row r="29" ht="18.0" customHeight="1">
      <c r="A29" s="20">
        <v>46017.0</v>
      </c>
      <c r="B29" s="24" t="s">
        <v>71</v>
      </c>
      <c r="C29" s="24" t="s">
        <v>22</v>
      </c>
      <c r="D29" s="26">
        <v>7.0</v>
      </c>
      <c r="E29" s="24"/>
      <c r="F29" s="25"/>
      <c r="G29" s="25"/>
    </row>
    <row r="30" ht="18.0" customHeight="1">
      <c r="A30" s="19">
        <v>46017.0</v>
      </c>
      <c r="B30" s="21" t="s">
        <v>71</v>
      </c>
      <c r="C30" s="21" t="s">
        <v>29</v>
      </c>
      <c r="D30" s="23">
        <v>9.7</v>
      </c>
      <c r="E30" s="21"/>
      <c r="F30" s="25"/>
      <c r="G30" s="25"/>
    </row>
    <row r="31" ht="18.0" customHeight="1">
      <c r="A31" s="20">
        <v>46022.0</v>
      </c>
      <c r="B31" s="24" t="s">
        <v>44</v>
      </c>
      <c r="C31" s="24" t="s">
        <v>37</v>
      </c>
      <c r="D31" s="26">
        <v>9.0</v>
      </c>
      <c r="E31" s="24"/>
      <c r="F31" s="25"/>
      <c r="G31" s="25"/>
    </row>
    <row r="32" ht="18.0" customHeight="1">
      <c r="A32" s="12">
        <v>46042.0</v>
      </c>
      <c r="B32" s="14" t="s">
        <v>44</v>
      </c>
      <c r="C32" s="14" t="s">
        <v>34</v>
      </c>
      <c r="D32" s="15">
        <v>8.9</v>
      </c>
      <c r="E32" s="14"/>
      <c r="F32" s="25"/>
      <c r="G32" s="25"/>
    </row>
    <row r="33" ht="18.0" customHeight="1">
      <c r="A33" s="20">
        <v>46052.0</v>
      </c>
      <c r="B33" s="24" t="s">
        <v>44</v>
      </c>
      <c r="C33" s="24" t="s">
        <v>49</v>
      </c>
      <c r="D33" s="26">
        <v>9.2</v>
      </c>
      <c r="E33" s="24"/>
      <c r="F33" s="25"/>
      <c r="G33" s="25"/>
    </row>
    <row r="34" ht="18.0" customHeight="1">
      <c r="A34" s="12">
        <v>46106.0</v>
      </c>
      <c r="B34" s="14" t="s">
        <v>77</v>
      </c>
      <c r="C34" s="14" t="s">
        <v>24</v>
      </c>
      <c r="D34" s="15">
        <v>8.6</v>
      </c>
      <c r="E34" s="14"/>
      <c r="F34" s="25"/>
      <c r="G34" s="25"/>
    </row>
    <row r="35" ht="18.0" customHeight="1">
      <c r="A35" s="20">
        <v>46109.0</v>
      </c>
      <c r="B35" s="24" t="s">
        <v>77</v>
      </c>
      <c r="C35" s="24" t="s">
        <v>37</v>
      </c>
      <c r="D35" s="26">
        <v>8.8</v>
      </c>
      <c r="E35" s="24"/>
      <c r="F35" s="25"/>
      <c r="G35" s="25"/>
    </row>
    <row r="36" ht="18.0" customHeight="1">
      <c r="A36" s="12">
        <v>46116.0</v>
      </c>
      <c r="B36" s="14" t="s">
        <v>77</v>
      </c>
      <c r="C36" s="14" t="s">
        <v>34</v>
      </c>
      <c r="D36" s="15">
        <v>8.3</v>
      </c>
      <c r="E36" s="14"/>
      <c r="F36" s="25"/>
      <c r="G36" s="25"/>
    </row>
    <row r="37" ht="18.0" customHeight="1">
      <c r="A37" s="20">
        <v>46120.0</v>
      </c>
      <c r="B37" s="24" t="s">
        <v>77</v>
      </c>
      <c r="C37" s="24" t="s">
        <v>49</v>
      </c>
      <c r="D37" s="26">
        <v>8.8</v>
      </c>
      <c r="E37" s="24"/>
      <c r="F37" s="25"/>
      <c r="G37" s="25"/>
    </row>
    <row r="38" ht="18.0" customHeight="1">
      <c r="A38" s="12">
        <v>46131.0</v>
      </c>
      <c r="B38" s="14" t="s">
        <v>77</v>
      </c>
      <c r="C38" s="14" t="s">
        <v>51</v>
      </c>
      <c r="D38" s="15">
        <v>8.5</v>
      </c>
      <c r="E38" s="14"/>
      <c r="F38" s="25"/>
      <c r="G38" s="25"/>
    </row>
    <row r="39" ht="18.0" customHeight="1">
      <c r="A39" s="20">
        <v>45769.0</v>
      </c>
      <c r="B39" s="24" t="s">
        <v>33</v>
      </c>
      <c r="C39" s="24" t="s">
        <v>49</v>
      </c>
      <c r="D39" s="34">
        <v>9.5</v>
      </c>
      <c r="E39" s="24"/>
      <c r="F39" s="25"/>
      <c r="G39" s="25"/>
    </row>
    <row r="40" ht="18.0" customHeight="1">
      <c r="A40" s="35"/>
      <c r="B40" s="14"/>
      <c r="C40" s="36"/>
      <c r="D40" s="37"/>
      <c r="E40" s="14"/>
      <c r="F40" s="25"/>
      <c r="G40" s="25"/>
    </row>
    <row r="41" ht="18.0" customHeight="1">
      <c r="A41" s="38"/>
      <c r="B41" s="24"/>
      <c r="C41" s="24"/>
      <c r="D41" s="39"/>
      <c r="E41" s="24"/>
      <c r="F41" s="25"/>
      <c r="G41" s="25"/>
    </row>
    <row r="42" ht="18.0" customHeight="1">
      <c r="A42" s="35"/>
      <c r="B42" s="14"/>
      <c r="C42" s="14"/>
      <c r="D42" s="37"/>
      <c r="E42" s="14"/>
      <c r="F42" s="25"/>
      <c r="G42" s="25"/>
    </row>
    <row r="43" ht="18.0" customHeight="1">
      <c r="A43" s="38"/>
      <c r="B43" s="24"/>
      <c r="C43" s="24"/>
      <c r="D43" s="39"/>
      <c r="E43" s="24"/>
      <c r="F43" s="25"/>
      <c r="G43" s="25"/>
    </row>
    <row r="44" ht="18.0" customHeight="1">
      <c r="A44" s="35"/>
      <c r="B44" s="14"/>
      <c r="C44" s="14"/>
      <c r="D44" s="37"/>
      <c r="E44" s="14"/>
      <c r="F44" s="25"/>
      <c r="G44" s="25"/>
    </row>
    <row r="45" ht="18.0" customHeight="1">
      <c r="A45" s="38"/>
      <c r="B45" s="24"/>
      <c r="C45" s="24"/>
      <c r="D45" s="39"/>
      <c r="E45" s="24"/>
      <c r="F45" s="25"/>
      <c r="G45" s="25"/>
    </row>
    <row r="46" ht="18.0" customHeight="1">
      <c r="A46" s="35"/>
      <c r="B46" s="14"/>
      <c r="C46" s="14"/>
      <c r="D46" s="37"/>
      <c r="E46" s="14"/>
      <c r="F46" s="25"/>
      <c r="G46" s="25"/>
    </row>
    <row r="47" ht="18.0" customHeight="1">
      <c r="A47" s="38"/>
      <c r="B47" s="24"/>
      <c r="C47" s="24"/>
      <c r="D47" s="39"/>
      <c r="E47" s="24"/>
      <c r="F47" s="25"/>
      <c r="G47" s="25"/>
    </row>
    <row r="48" ht="18.0" customHeight="1">
      <c r="A48" s="35"/>
      <c r="B48" s="14"/>
      <c r="C48" s="14"/>
      <c r="D48" s="37"/>
      <c r="E48" s="14"/>
      <c r="F48" s="25"/>
      <c r="G48" s="25"/>
    </row>
    <row r="49" ht="18.0" customHeight="1">
      <c r="A49" s="38"/>
      <c r="B49" s="24"/>
      <c r="C49" s="24"/>
      <c r="D49" s="39"/>
      <c r="E49" s="24"/>
      <c r="F49" s="25"/>
      <c r="G49" s="25"/>
    </row>
    <row r="50" ht="18.0" customHeight="1">
      <c r="A50" s="35"/>
      <c r="B50" s="14"/>
      <c r="C50" s="14"/>
      <c r="D50" s="37"/>
      <c r="E50" s="14"/>
      <c r="F50" s="25"/>
      <c r="G50" s="25"/>
    </row>
    <row r="51" ht="18.0" customHeight="1">
      <c r="A51" s="38"/>
      <c r="B51" s="24"/>
      <c r="C51" s="24"/>
      <c r="D51" s="39"/>
      <c r="E51" s="24"/>
      <c r="F51" s="25"/>
      <c r="G51" s="25"/>
    </row>
    <row r="52" ht="18.0" customHeight="1">
      <c r="A52" s="35"/>
      <c r="B52" s="14"/>
      <c r="C52" s="14"/>
      <c r="D52" s="37"/>
      <c r="E52" s="14"/>
      <c r="F52" s="25"/>
      <c r="G52" s="25"/>
    </row>
    <row r="53" ht="18.0" customHeight="1">
      <c r="A53" s="38"/>
      <c r="B53" s="24"/>
      <c r="C53" s="24"/>
      <c r="D53" s="39"/>
      <c r="E53" s="24"/>
      <c r="F53" s="25"/>
      <c r="G53" s="25"/>
    </row>
    <row r="54" ht="18.0" customHeight="1">
      <c r="A54" s="35"/>
      <c r="B54" s="14"/>
      <c r="C54" s="14"/>
      <c r="D54" s="37"/>
      <c r="E54" s="14"/>
      <c r="F54" s="25"/>
      <c r="G54" s="25"/>
    </row>
    <row r="55" ht="18.0" customHeight="1">
      <c r="A55" s="38"/>
      <c r="B55" s="24"/>
      <c r="C55" s="24"/>
      <c r="D55" s="39"/>
      <c r="E55" s="24"/>
      <c r="F55" s="25"/>
      <c r="G55" s="25"/>
    </row>
    <row r="56" ht="18.0" customHeight="1">
      <c r="A56" s="35"/>
      <c r="B56" s="14"/>
      <c r="C56" s="14"/>
      <c r="D56" s="37"/>
      <c r="E56" s="14"/>
      <c r="F56" s="25"/>
      <c r="G56" s="25"/>
    </row>
    <row r="57" ht="18.0" customHeight="1">
      <c r="A57" s="38"/>
      <c r="B57" s="24"/>
      <c r="C57" s="24"/>
      <c r="D57" s="39"/>
      <c r="E57" s="24"/>
      <c r="F57" s="25"/>
      <c r="G57" s="25"/>
    </row>
    <row r="58" ht="18.0" customHeight="1">
      <c r="A58" s="35"/>
      <c r="B58" s="14"/>
      <c r="C58" s="14"/>
      <c r="D58" s="37"/>
      <c r="E58" s="14"/>
      <c r="F58" s="25"/>
      <c r="G58" s="25"/>
    </row>
    <row r="59" ht="18.0" customHeight="1">
      <c r="A59" s="38"/>
      <c r="B59" s="24"/>
      <c r="C59" s="24"/>
      <c r="D59" s="39"/>
      <c r="E59" s="24"/>
      <c r="F59" s="25"/>
      <c r="G59" s="25"/>
    </row>
    <row r="60" ht="18.0" customHeight="1">
      <c r="A60" s="35"/>
      <c r="B60" s="14"/>
      <c r="C60" s="14"/>
      <c r="D60" s="37"/>
      <c r="E60" s="14"/>
      <c r="F60" s="25"/>
      <c r="G60" s="25"/>
    </row>
    <row r="61" ht="18.0" customHeight="1">
      <c r="A61" s="38"/>
      <c r="B61" s="24"/>
      <c r="C61" s="24"/>
      <c r="D61" s="39"/>
      <c r="E61" s="24"/>
      <c r="F61" s="25"/>
      <c r="G61" s="25"/>
    </row>
    <row r="62" ht="18.0" customHeight="1">
      <c r="A62" s="35"/>
      <c r="B62" s="14"/>
      <c r="C62" s="14"/>
      <c r="D62" s="37"/>
      <c r="E62" s="14"/>
      <c r="F62" s="25"/>
      <c r="G62" s="25"/>
    </row>
    <row r="63" ht="18.0" customHeight="1">
      <c r="A63" s="38"/>
      <c r="B63" s="24"/>
      <c r="C63" s="24"/>
      <c r="D63" s="39"/>
      <c r="E63" s="24"/>
      <c r="F63" s="25"/>
      <c r="G63" s="25"/>
    </row>
    <row r="64" ht="18.0" customHeight="1">
      <c r="A64" s="35"/>
      <c r="B64" s="14"/>
      <c r="C64" s="14"/>
      <c r="D64" s="37"/>
      <c r="E64" s="14"/>
      <c r="F64" s="25"/>
      <c r="G64" s="25"/>
    </row>
    <row r="65" ht="18.0" customHeight="1">
      <c r="A65" s="38"/>
      <c r="B65" s="24"/>
      <c r="C65" s="24"/>
      <c r="D65" s="39"/>
      <c r="E65" s="24"/>
      <c r="F65" s="25"/>
      <c r="G65" s="25"/>
    </row>
    <row r="66" ht="18.0" customHeight="1">
      <c r="A66" s="35"/>
      <c r="B66" s="14"/>
      <c r="C66" s="14"/>
      <c r="D66" s="37"/>
      <c r="E66" s="14"/>
      <c r="F66" s="25"/>
      <c r="G66" s="25"/>
    </row>
    <row r="67" ht="18.0" customHeight="1">
      <c r="A67" s="38"/>
      <c r="B67" s="24"/>
      <c r="C67" s="24"/>
      <c r="D67" s="39"/>
      <c r="E67" s="24"/>
      <c r="F67" s="25"/>
      <c r="G67" s="25"/>
    </row>
    <row r="68" ht="18.0" customHeight="1">
      <c r="A68" s="35"/>
      <c r="B68" s="14"/>
      <c r="C68" s="14"/>
      <c r="D68" s="37"/>
      <c r="E68" s="14"/>
      <c r="F68" s="25"/>
      <c r="G68" s="25"/>
    </row>
    <row r="69" ht="18.0" customHeight="1">
      <c r="A69" s="38"/>
      <c r="B69" s="24"/>
      <c r="C69" s="24"/>
      <c r="D69" s="39"/>
      <c r="E69" s="24"/>
      <c r="F69" s="25"/>
      <c r="G69" s="25"/>
    </row>
    <row r="70" ht="18.0" customHeight="1">
      <c r="A70" s="35"/>
      <c r="B70" s="14"/>
      <c r="C70" s="14"/>
      <c r="D70" s="37"/>
      <c r="E70" s="14"/>
      <c r="F70" s="25"/>
      <c r="G70" s="25"/>
    </row>
    <row r="71" ht="18.0" customHeight="1">
      <c r="A71" s="38"/>
      <c r="B71" s="24"/>
      <c r="C71" s="24"/>
      <c r="D71" s="39"/>
      <c r="E71" s="24"/>
      <c r="F71" s="25"/>
      <c r="G71" s="25"/>
    </row>
    <row r="72" ht="18.0" customHeight="1">
      <c r="A72" s="35"/>
      <c r="B72" s="14"/>
      <c r="C72" s="14"/>
      <c r="D72" s="37"/>
      <c r="E72" s="14"/>
      <c r="F72" s="25"/>
      <c r="G72" s="25"/>
    </row>
    <row r="73" ht="18.0" customHeight="1">
      <c r="A73" s="38"/>
      <c r="B73" s="24"/>
      <c r="C73" s="24"/>
      <c r="D73" s="39"/>
      <c r="E73" s="24"/>
      <c r="F73" s="25"/>
      <c r="G73" s="25"/>
    </row>
    <row r="74" ht="18.0" customHeight="1">
      <c r="A74" s="35"/>
      <c r="B74" s="14"/>
      <c r="C74" s="14"/>
      <c r="D74" s="37"/>
      <c r="E74" s="14"/>
      <c r="F74" s="25"/>
      <c r="G74" s="25"/>
    </row>
    <row r="75" ht="18.0" customHeight="1">
      <c r="A75" s="38"/>
      <c r="B75" s="24"/>
      <c r="C75" s="24"/>
      <c r="D75" s="39"/>
      <c r="E75" s="24"/>
      <c r="F75" s="25"/>
      <c r="G75" s="25"/>
    </row>
    <row r="76" ht="18.0" customHeight="1">
      <c r="A76" s="35"/>
      <c r="B76" s="14"/>
      <c r="C76" s="14"/>
      <c r="D76" s="37"/>
      <c r="E76" s="14"/>
      <c r="F76" s="25"/>
      <c r="G76" s="25"/>
    </row>
    <row r="77" ht="18.0" customHeight="1">
      <c r="A77" s="38"/>
      <c r="B77" s="24"/>
      <c r="C77" s="24"/>
      <c r="D77" s="39"/>
      <c r="E77" s="24"/>
      <c r="F77" s="25"/>
      <c r="G77" s="25"/>
    </row>
    <row r="78" ht="18.0" customHeight="1">
      <c r="A78" s="35"/>
      <c r="B78" s="14"/>
      <c r="C78" s="14"/>
      <c r="D78" s="37"/>
      <c r="E78" s="14"/>
      <c r="F78" s="25"/>
      <c r="G78" s="25"/>
    </row>
    <row r="79" ht="18.0" customHeight="1">
      <c r="A79" s="38"/>
      <c r="B79" s="24"/>
      <c r="C79" s="24"/>
      <c r="D79" s="39"/>
      <c r="E79" s="24"/>
      <c r="F79" s="25"/>
      <c r="G79" s="25"/>
    </row>
    <row r="80" ht="18.0" customHeight="1">
      <c r="A80" s="35"/>
      <c r="B80" s="14"/>
      <c r="C80" s="14"/>
      <c r="D80" s="37"/>
      <c r="E80" s="14"/>
      <c r="F80" s="25"/>
      <c r="G80" s="25"/>
    </row>
    <row r="81" ht="18.0" customHeight="1">
      <c r="A81" s="38"/>
      <c r="B81" s="24"/>
      <c r="C81" s="24"/>
      <c r="D81" s="39"/>
      <c r="E81" s="24"/>
      <c r="F81" s="25"/>
      <c r="G81" s="25"/>
    </row>
    <row r="82" ht="18.0" customHeight="1">
      <c r="A82" s="35"/>
      <c r="B82" s="14"/>
      <c r="C82" s="14"/>
      <c r="D82" s="37"/>
      <c r="E82" s="14"/>
      <c r="F82" s="25"/>
      <c r="G82" s="25"/>
    </row>
    <row r="83" ht="18.0" customHeight="1">
      <c r="A83" s="38"/>
      <c r="B83" s="24"/>
      <c r="C83" s="24"/>
      <c r="D83" s="39"/>
      <c r="E83" s="24"/>
      <c r="F83" s="25"/>
      <c r="G83" s="25"/>
    </row>
    <row r="84" ht="18.0" customHeight="1">
      <c r="A84" s="35"/>
      <c r="B84" s="14"/>
      <c r="C84" s="14"/>
      <c r="D84" s="37"/>
      <c r="E84" s="14"/>
      <c r="F84" s="25"/>
      <c r="G84" s="25"/>
    </row>
    <row r="85" ht="18.0" customHeight="1">
      <c r="A85" s="38"/>
      <c r="B85" s="24"/>
      <c r="C85" s="24"/>
      <c r="D85" s="39"/>
      <c r="E85" s="24"/>
      <c r="F85" s="25"/>
      <c r="G85" s="25"/>
    </row>
    <row r="86" ht="18.0" customHeight="1">
      <c r="A86" s="35"/>
      <c r="B86" s="14"/>
      <c r="C86" s="14"/>
      <c r="D86" s="37"/>
      <c r="E86" s="14"/>
      <c r="F86" s="25"/>
      <c r="G86" s="25"/>
    </row>
    <row r="87" ht="18.0" customHeight="1">
      <c r="A87" s="38"/>
      <c r="B87" s="24"/>
      <c r="C87" s="24"/>
      <c r="D87" s="39"/>
      <c r="E87" s="24"/>
      <c r="F87" s="25"/>
      <c r="G87" s="25"/>
    </row>
    <row r="88" ht="18.0" customHeight="1">
      <c r="A88" s="35"/>
      <c r="B88" s="14"/>
      <c r="C88" s="14"/>
      <c r="D88" s="37"/>
      <c r="E88" s="14"/>
      <c r="F88" s="25"/>
      <c r="G88" s="25"/>
    </row>
    <row r="89" ht="18.0" customHeight="1">
      <c r="A89" s="38"/>
      <c r="B89" s="24"/>
      <c r="C89" s="24"/>
      <c r="D89" s="39"/>
      <c r="E89" s="24"/>
      <c r="F89" s="25"/>
      <c r="G89" s="25"/>
    </row>
    <row r="90" ht="18.0" customHeight="1">
      <c r="A90" s="35"/>
      <c r="B90" s="14"/>
      <c r="C90" s="14"/>
      <c r="D90" s="37"/>
      <c r="E90" s="14"/>
      <c r="F90" s="25"/>
      <c r="G90" s="25"/>
    </row>
    <row r="91" ht="18.0" customHeight="1">
      <c r="A91" s="38"/>
      <c r="B91" s="24"/>
      <c r="C91" s="24"/>
      <c r="D91" s="39"/>
      <c r="E91" s="24"/>
      <c r="F91" s="25"/>
      <c r="G91" s="25"/>
    </row>
    <row r="92" ht="18.0" customHeight="1">
      <c r="A92" s="35"/>
      <c r="B92" s="14"/>
      <c r="C92" s="14"/>
      <c r="D92" s="37"/>
      <c r="E92" s="14"/>
      <c r="F92" s="25"/>
      <c r="G92" s="25"/>
    </row>
    <row r="93" ht="18.0" customHeight="1">
      <c r="A93" s="38"/>
      <c r="B93" s="24"/>
      <c r="C93" s="24"/>
      <c r="D93" s="39"/>
      <c r="E93" s="24"/>
      <c r="F93" s="25"/>
      <c r="G93" s="25"/>
    </row>
    <row r="94" ht="18.0" customHeight="1">
      <c r="A94" s="35"/>
      <c r="B94" s="14"/>
      <c r="C94" s="14"/>
      <c r="D94" s="37"/>
      <c r="E94" s="14"/>
      <c r="F94" s="25"/>
      <c r="G94" s="25"/>
    </row>
    <row r="95" ht="18.0" customHeight="1">
      <c r="A95" s="38"/>
      <c r="B95" s="24"/>
      <c r="C95" s="24"/>
      <c r="D95" s="39"/>
      <c r="E95" s="24"/>
      <c r="F95" s="25"/>
      <c r="G95" s="25"/>
    </row>
    <row r="96" ht="18.0" customHeight="1">
      <c r="A96" s="35"/>
      <c r="B96" s="14"/>
      <c r="C96" s="14"/>
      <c r="D96" s="37"/>
      <c r="E96" s="14"/>
      <c r="F96" s="25"/>
      <c r="G96" s="25"/>
    </row>
    <row r="97" ht="18.0" customHeight="1">
      <c r="A97" s="38"/>
      <c r="B97" s="24"/>
      <c r="C97" s="24"/>
      <c r="D97" s="39"/>
      <c r="E97" s="24"/>
      <c r="F97" s="25"/>
      <c r="G97" s="25"/>
    </row>
    <row r="98" ht="18.0" customHeight="1">
      <c r="A98" s="35"/>
      <c r="B98" s="14"/>
      <c r="C98" s="14"/>
      <c r="D98" s="37"/>
      <c r="E98" s="14"/>
      <c r="F98" s="25"/>
      <c r="G98" s="25"/>
    </row>
    <row r="99" ht="18.0" customHeight="1">
      <c r="A99" s="38"/>
      <c r="B99" s="24"/>
      <c r="C99" s="24"/>
      <c r="D99" s="39"/>
      <c r="E99" s="24"/>
      <c r="F99" s="25"/>
      <c r="G99" s="25"/>
    </row>
    <row r="100" ht="18.0" customHeight="1">
      <c r="A100" s="35"/>
      <c r="B100" s="14"/>
      <c r="C100" s="14"/>
      <c r="D100" s="37"/>
      <c r="E100" s="14"/>
      <c r="F100" s="25"/>
      <c r="G100" s="25"/>
    </row>
    <row r="101" ht="18.0" customHeight="1">
      <c r="A101" s="38"/>
      <c r="B101" s="24"/>
      <c r="C101" s="24"/>
      <c r="D101" s="51"/>
      <c r="E101" s="24"/>
      <c r="F101" s="53"/>
      <c r="G101" s="53"/>
    </row>
    <row r="102" ht="18.0" customHeight="1">
      <c r="A102" s="35"/>
      <c r="B102" s="14"/>
      <c r="C102" s="14"/>
      <c r="D102" s="54"/>
      <c r="E102" s="14"/>
      <c r="F102" s="53"/>
      <c r="G102" s="53"/>
    </row>
    <row r="103" ht="18.0" customHeight="1">
      <c r="A103" s="38"/>
      <c r="B103" s="24"/>
      <c r="C103" s="24"/>
      <c r="D103" s="51"/>
      <c r="E103" s="24"/>
      <c r="F103" s="53"/>
      <c r="G103" s="53"/>
    </row>
    <row r="104" ht="18.0" customHeight="1">
      <c r="A104" s="35"/>
      <c r="B104" s="14"/>
      <c r="C104" s="14"/>
      <c r="D104" s="54"/>
      <c r="E104" s="14"/>
      <c r="F104" s="53"/>
      <c r="G104" s="53"/>
    </row>
    <row r="105" ht="18.0" customHeight="1">
      <c r="A105" s="38"/>
      <c r="B105" s="24"/>
      <c r="C105" s="24"/>
      <c r="D105" s="51"/>
      <c r="E105" s="24"/>
      <c r="F105" s="53"/>
      <c r="G105" s="53"/>
    </row>
    <row r="106" ht="18.0" customHeight="1">
      <c r="A106" s="35"/>
      <c r="B106" s="14"/>
      <c r="C106" s="14"/>
      <c r="D106" s="54"/>
      <c r="E106" s="14"/>
      <c r="F106" s="53"/>
      <c r="G106" s="53"/>
    </row>
    <row r="107" ht="18.0" customHeight="1">
      <c r="A107" s="38"/>
      <c r="B107" s="24"/>
      <c r="C107" s="24"/>
      <c r="D107" s="51"/>
      <c r="E107" s="24"/>
      <c r="F107" s="53"/>
      <c r="G107" s="53"/>
    </row>
    <row r="108" ht="18.0" customHeight="1">
      <c r="A108" s="35"/>
      <c r="B108" s="14"/>
      <c r="C108" s="14"/>
      <c r="D108" s="54"/>
      <c r="E108" s="14"/>
      <c r="F108" s="53"/>
      <c r="G108" s="53"/>
    </row>
    <row r="109" ht="18.0" customHeight="1">
      <c r="A109" s="38"/>
      <c r="B109" s="24"/>
      <c r="C109" s="24"/>
      <c r="D109" s="51"/>
      <c r="E109" s="24"/>
      <c r="F109" s="53"/>
      <c r="G109" s="53"/>
    </row>
    <row r="110" ht="18.0" customHeight="1">
      <c r="A110" s="35"/>
      <c r="B110" s="14"/>
      <c r="C110" s="14"/>
      <c r="D110" s="54"/>
      <c r="E110" s="14"/>
      <c r="F110" s="53"/>
      <c r="G110" s="53"/>
    </row>
    <row r="111" ht="18.0" customHeight="1">
      <c r="A111" s="38"/>
      <c r="B111" s="24"/>
      <c r="C111" s="24"/>
      <c r="D111" s="51"/>
      <c r="E111" s="24"/>
      <c r="F111" s="53"/>
      <c r="G111" s="53"/>
    </row>
    <row r="112" ht="18.0" customHeight="1">
      <c r="A112" s="35"/>
      <c r="B112" s="14"/>
      <c r="C112" s="14"/>
      <c r="D112" s="54"/>
      <c r="E112" s="14"/>
      <c r="F112" s="53"/>
      <c r="G112" s="53"/>
    </row>
    <row r="113" ht="18.0" customHeight="1">
      <c r="A113" s="38"/>
      <c r="B113" s="24"/>
      <c r="C113" s="24"/>
      <c r="D113" s="51"/>
      <c r="E113" s="24"/>
      <c r="F113" s="53"/>
      <c r="G113" s="53"/>
    </row>
    <row r="114" ht="18.0" customHeight="1">
      <c r="A114" s="35"/>
      <c r="B114" s="14"/>
      <c r="C114" s="14"/>
      <c r="D114" s="54"/>
      <c r="E114" s="14"/>
      <c r="F114" s="53"/>
      <c r="G114" s="53"/>
    </row>
    <row r="115" ht="18.0" customHeight="1">
      <c r="A115" s="38"/>
      <c r="B115" s="24"/>
      <c r="C115" s="24"/>
      <c r="D115" s="51"/>
      <c r="E115" s="24"/>
      <c r="F115" s="53"/>
      <c r="G115" s="53"/>
    </row>
    <row r="116" ht="18.0" customHeight="1">
      <c r="A116" s="35"/>
      <c r="B116" s="14"/>
      <c r="C116" s="14"/>
      <c r="D116" s="54"/>
      <c r="E116" s="14"/>
      <c r="F116" s="53"/>
      <c r="G116" s="53"/>
    </row>
    <row r="117" ht="18.0" customHeight="1">
      <c r="A117" s="38"/>
      <c r="B117" s="24"/>
      <c r="C117" s="24"/>
      <c r="D117" s="51"/>
      <c r="E117" s="24"/>
      <c r="F117" s="53"/>
      <c r="G117" s="53"/>
    </row>
    <row r="118" ht="18.0" customHeight="1">
      <c r="A118" s="35"/>
      <c r="B118" s="14"/>
      <c r="C118" s="14"/>
      <c r="D118" s="54"/>
      <c r="E118" s="14"/>
      <c r="F118" s="53"/>
      <c r="G118" s="53"/>
    </row>
    <row r="119" ht="18.0" customHeight="1">
      <c r="A119" s="38"/>
      <c r="B119" s="24"/>
      <c r="C119" s="24"/>
      <c r="D119" s="51"/>
      <c r="E119" s="24"/>
      <c r="F119" s="53"/>
      <c r="G119" s="53"/>
    </row>
    <row r="120" ht="18.0" customHeight="1">
      <c r="A120" s="35"/>
      <c r="B120" s="14"/>
      <c r="C120" s="14"/>
      <c r="D120" s="54"/>
      <c r="E120" s="14"/>
      <c r="F120" s="53"/>
      <c r="G120" s="53"/>
    </row>
    <row r="121" ht="18.0" customHeight="1">
      <c r="A121" s="38"/>
      <c r="B121" s="24"/>
      <c r="C121" s="24"/>
      <c r="D121" s="51"/>
      <c r="E121" s="24"/>
      <c r="F121" s="53"/>
      <c r="G121" s="53"/>
    </row>
    <row r="122" ht="18.0" customHeight="1">
      <c r="A122" s="35"/>
      <c r="B122" s="14"/>
      <c r="C122" s="14"/>
      <c r="D122" s="54"/>
      <c r="E122" s="14"/>
      <c r="F122" s="53"/>
      <c r="G122" s="53"/>
    </row>
    <row r="123" ht="18.0" customHeight="1">
      <c r="A123" s="38"/>
      <c r="B123" s="24"/>
      <c r="C123" s="24"/>
      <c r="D123" s="51"/>
      <c r="E123" s="24"/>
      <c r="F123" s="53"/>
      <c r="G123" s="53"/>
    </row>
    <row r="124" ht="18.0" customHeight="1">
      <c r="A124" s="35"/>
      <c r="B124" s="14"/>
      <c r="C124" s="14"/>
      <c r="D124" s="54"/>
      <c r="E124" s="14"/>
      <c r="F124" s="53"/>
      <c r="G124" s="53"/>
    </row>
    <row r="125" ht="18.0" customHeight="1">
      <c r="A125" s="38"/>
      <c r="B125" s="24"/>
      <c r="C125" s="24"/>
      <c r="D125" s="51"/>
      <c r="E125" s="24"/>
      <c r="F125" s="53"/>
      <c r="G125" s="53"/>
    </row>
    <row r="126" ht="18.0" customHeight="1">
      <c r="A126" s="35"/>
      <c r="B126" s="14"/>
      <c r="C126" s="14"/>
      <c r="D126" s="54"/>
      <c r="E126" s="14"/>
      <c r="F126" s="53"/>
      <c r="G126" s="53"/>
    </row>
    <row r="127" ht="18.0" customHeight="1">
      <c r="A127" s="38"/>
      <c r="B127" s="24"/>
      <c r="C127" s="24"/>
      <c r="D127" s="51"/>
      <c r="E127" s="24"/>
      <c r="F127" s="53"/>
      <c r="G127" s="53"/>
    </row>
    <row r="128" ht="18.0" customHeight="1">
      <c r="A128" s="35"/>
      <c r="B128" s="14"/>
      <c r="C128" s="14"/>
      <c r="D128" s="54"/>
      <c r="E128" s="14"/>
      <c r="F128" s="53"/>
      <c r="G128" s="53"/>
    </row>
    <row r="129" ht="18.0" customHeight="1">
      <c r="A129" s="38"/>
      <c r="B129" s="24"/>
      <c r="C129" s="24"/>
      <c r="D129" s="51"/>
      <c r="E129" s="24"/>
      <c r="F129" s="53"/>
      <c r="G129" s="53"/>
    </row>
    <row r="130" ht="18.0" customHeight="1">
      <c r="A130" s="35"/>
      <c r="B130" s="14"/>
      <c r="C130" s="14"/>
      <c r="D130" s="54"/>
      <c r="E130" s="14"/>
      <c r="F130" s="53"/>
      <c r="G130" s="53"/>
    </row>
    <row r="131" ht="18.0" customHeight="1">
      <c r="A131" s="38"/>
      <c r="B131" s="24"/>
      <c r="C131" s="24"/>
      <c r="D131" s="51"/>
      <c r="E131" s="24"/>
      <c r="F131" s="53"/>
      <c r="G131" s="53"/>
    </row>
    <row r="132" ht="18.0" customHeight="1">
      <c r="A132" s="35"/>
      <c r="B132" s="14"/>
      <c r="C132" s="14"/>
      <c r="D132" s="54"/>
      <c r="E132" s="14"/>
      <c r="F132" s="53"/>
      <c r="G132" s="53"/>
    </row>
    <row r="133" ht="18.0" customHeight="1">
      <c r="A133" s="38"/>
      <c r="B133" s="24"/>
      <c r="C133" s="24"/>
      <c r="D133" s="51"/>
      <c r="E133" s="24"/>
      <c r="F133" s="53"/>
      <c r="G133" s="53"/>
    </row>
    <row r="134" ht="18.0" customHeight="1">
      <c r="A134" s="35"/>
      <c r="B134" s="14"/>
      <c r="C134" s="14"/>
      <c r="D134" s="54"/>
      <c r="E134" s="14"/>
      <c r="F134" s="53"/>
      <c r="G134" s="53"/>
    </row>
    <row r="135" ht="18.0" customHeight="1">
      <c r="A135" s="38"/>
      <c r="B135" s="24"/>
      <c r="C135" s="24"/>
      <c r="D135" s="51"/>
      <c r="E135" s="24"/>
      <c r="F135" s="53"/>
      <c r="G135" s="53"/>
    </row>
    <row r="136" ht="18.0" customHeight="1">
      <c r="A136" s="35"/>
      <c r="B136" s="14"/>
      <c r="C136" s="14"/>
      <c r="D136" s="54"/>
      <c r="E136" s="14"/>
      <c r="F136" s="53"/>
      <c r="G136" s="53"/>
    </row>
    <row r="137" ht="18.0" customHeight="1">
      <c r="A137" s="38"/>
      <c r="B137" s="24"/>
      <c r="C137" s="24"/>
      <c r="D137" s="51"/>
      <c r="E137" s="24"/>
      <c r="F137" s="53"/>
      <c r="G137" s="53"/>
    </row>
    <row r="138" ht="18.0" customHeight="1">
      <c r="A138" s="35"/>
      <c r="B138" s="14"/>
      <c r="C138" s="14"/>
      <c r="D138" s="54"/>
      <c r="E138" s="14"/>
      <c r="F138" s="53"/>
      <c r="G138" s="53"/>
    </row>
    <row r="139" ht="18.0" customHeight="1">
      <c r="A139" s="38"/>
      <c r="B139" s="24"/>
      <c r="C139" s="24"/>
      <c r="D139" s="51"/>
      <c r="E139" s="24"/>
      <c r="F139" s="53"/>
      <c r="G139" s="53"/>
    </row>
    <row r="140" ht="18.0" customHeight="1">
      <c r="A140" s="35"/>
      <c r="B140" s="14"/>
      <c r="C140" s="14"/>
      <c r="D140" s="54"/>
      <c r="E140" s="14"/>
      <c r="F140" s="53"/>
      <c r="G140" s="53"/>
    </row>
    <row r="141" ht="18.0" customHeight="1">
      <c r="A141" s="38"/>
      <c r="B141" s="24"/>
      <c r="C141" s="24"/>
      <c r="D141" s="51"/>
      <c r="E141" s="24"/>
      <c r="F141" s="53"/>
      <c r="G141" s="53"/>
    </row>
    <row r="142" ht="18.0" customHeight="1">
      <c r="A142" s="35"/>
      <c r="B142" s="14"/>
      <c r="C142" s="14"/>
      <c r="D142" s="54"/>
      <c r="E142" s="14"/>
      <c r="F142" s="53"/>
      <c r="G142" s="53"/>
    </row>
    <row r="143" ht="18.0" customHeight="1">
      <c r="A143" s="38"/>
      <c r="B143" s="24"/>
      <c r="C143" s="24"/>
      <c r="D143" s="51"/>
      <c r="E143" s="24"/>
      <c r="F143" s="53"/>
      <c r="G143" s="53"/>
    </row>
    <row r="144" ht="18.0" customHeight="1">
      <c r="A144" s="35"/>
      <c r="B144" s="14"/>
      <c r="C144" s="14"/>
      <c r="D144" s="54"/>
      <c r="E144" s="14"/>
      <c r="F144" s="53"/>
      <c r="G144" s="53"/>
    </row>
    <row r="145" ht="18.0" customHeight="1">
      <c r="A145" s="38"/>
      <c r="B145" s="24"/>
      <c r="C145" s="24"/>
      <c r="D145" s="51"/>
      <c r="E145" s="24"/>
      <c r="F145" s="53"/>
      <c r="G145" s="53"/>
    </row>
    <row r="146" ht="18.0" customHeight="1">
      <c r="A146" s="35"/>
      <c r="B146" s="14"/>
      <c r="C146" s="14"/>
      <c r="D146" s="54"/>
      <c r="E146" s="14"/>
      <c r="F146" s="53"/>
      <c r="G146" s="53"/>
    </row>
    <row r="147" ht="18.0" customHeight="1">
      <c r="A147" s="38"/>
      <c r="B147" s="24"/>
      <c r="C147" s="24"/>
      <c r="D147" s="51"/>
      <c r="E147" s="24"/>
      <c r="F147" s="53"/>
      <c r="G147" s="53"/>
    </row>
    <row r="148" ht="18.0" customHeight="1">
      <c r="A148" s="35"/>
      <c r="B148" s="14"/>
      <c r="C148" s="14"/>
      <c r="D148" s="54"/>
      <c r="E148" s="14"/>
      <c r="F148" s="53"/>
      <c r="G148" s="53"/>
    </row>
    <row r="149" ht="18.0" customHeight="1">
      <c r="A149" s="38"/>
      <c r="B149" s="24"/>
      <c r="C149" s="24"/>
      <c r="D149" s="51"/>
      <c r="E149" s="24"/>
      <c r="F149" s="53"/>
      <c r="G149" s="53"/>
    </row>
    <row r="150" ht="18.0" customHeight="1">
      <c r="A150" s="35"/>
      <c r="B150" s="14"/>
      <c r="C150" s="14"/>
      <c r="D150" s="54"/>
      <c r="E150" s="14"/>
      <c r="F150" s="53"/>
      <c r="G150" s="53"/>
    </row>
    <row r="151" ht="18.0" customHeight="1">
      <c r="A151" s="38"/>
      <c r="B151" s="24"/>
      <c r="C151" s="24"/>
      <c r="D151" s="51"/>
      <c r="E151" s="24"/>
      <c r="F151" s="53"/>
      <c r="G151" s="53"/>
    </row>
    <row r="152" ht="18.0" customHeight="1">
      <c r="A152" s="35"/>
      <c r="B152" s="14"/>
      <c r="C152" s="14"/>
      <c r="D152" s="54"/>
      <c r="E152" s="14"/>
      <c r="F152" s="53"/>
      <c r="G152" s="53"/>
    </row>
    <row r="153" ht="18.0" customHeight="1">
      <c r="A153" s="38"/>
      <c r="B153" s="24"/>
      <c r="C153" s="24"/>
      <c r="D153" s="51"/>
      <c r="E153" s="24"/>
      <c r="F153" s="53"/>
      <c r="G153" s="53"/>
    </row>
    <row r="154" ht="18.0" customHeight="1">
      <c r="A154" s="35"/>
      <c r="B154" s="14"/>
      <c r="C154" s="14"/>
      <c r="D154" s="54"/>
      <c r="E154" s="14"/>
      <c r="F154" s="53"/>
      <c r="G154" s="53"/>
    </row>
    <row r="155" ht="18.0" customHeight="1">
      <c r="A155" s="38"/>
      <c r="B155" s="24"/>
      <c r="C155" s="24"/>
      <c r="D155" s="51"/>
      <c r="E155" s="24"/>
      <c r="F155" s="53"/>
      <c r="G155" s="53"/>
    </row>
    <row r="156" ht="18.0" customHeight="1">
      <c r="A156" s="35"/>
      <c r="B156" s="14"/>
      <c r="C156" s="14"/>
      <c r="D156" s="54"/>
      <c r="E156" s="14"/>
      <c r="F156" s="53"/>
      <c r="G156" s="53"/>
    </row>
    <row r="157" ht="18.0" customHeight="1">
      <c r="A157" s="38"/>
      <c r="B157" s="24"/>
      <c r="C157" s="24"/>
      <c r="D157" s="51"/>
      <c r="E157" s="24"/>
      <c r="F157" s="53"/>
      <c r="G157" s="53"/>
    </row>
    <row r="158" ht="18.0" customHeight="1">
      <c r="A158" s="35"/>
      <c r="B158" s="14"/>
      <c r="C158" s="14"/>
      <c r="D158" s="54"/>
      <c r="E158" s="14"/>
      <c r="F158" s="53"/>
      <c r="G158" s="53"/>
    </row>
    <row r="159" ht="18.0" customHeight="1">
      <c r="A159" s="38"/>
      <c r="B159" s="24"/>
      <c r="C159" s="24"/>
      <c r="D159" s="51"/>
      <c r="E159" s="24"/>
      <c r="F159" s="53"/>
      <c r="G159" s="53"/>
    </row>
    <row r="160" ht="18.0" customHeight="1">
      <c r="A160" s="35"/>
      <c r="B160" s="14"/>
      <c r="C160" s="14"/>
      <c r="D160" s="54"/>
      <c r="E160" s="14"/>
      <c r="F160" s="53"/>
      <c r="G160" s="53"/>
    </row>
    <row r="161" ht="18.0" customHeight="1">
      <c r="A161" s="38"/>
      <c r="B161" s="24"/>
      <c r="C161" s="24"/>
      <c r="D161" s="51"/>
      <c r="E161" s="24"/>
      <c r="F161" s="53"/>
      <c r="G161" s="53"/>
    </row>
    <row r="162" ht="18.0" customHeight="1">
      <c r="A162" s="35"/>
      <c r="B162" s="14"/>
      <c r="C162" s="14"/>
      <c r="D162" s="54"/>
      <c r="E162" s="14"/>
      <c r="F162" s="53"/>
      <c r="G162" s="53"/>
    </row>
    <row r="163" ht="18.0" customHeight="1">
      <c r="A163" s="38"/>
      <c r="B163" s="24"/>
      <c r="C163" s="24"/>
      <c r="D163" s="51"/>
      <c r="E163" s="24"/>
      <c r="F163" s="53"/>
      <c r="G163" s="53"/>
    </row>
    <row r="164" ht="18.0" customHeight="1">
      <c r="A164" s="35"/>
      <c r="B164" s="14"/>
      <c r="C164" s="14"/>
      <c r="D164" s="54"/>
      <c r="E164" s="14"/>
      <c r="F164" s="53"/>
      <c r="G164" s="53"/>
    </row>
    <row r="165" ht="18.0" customHeight="1">
      <c r="A165" s="38"/>
      <c r="B165" s="24"/>
      <c r="C165" s="24"/>
      <c r="D165" s="51"/>
      <c r="E165" s="24"/>
      <c r="F165" s="53"/>
      <c r="G165" s="53"/>
    </row>
    <row r="166" ht="18.0" customHeight="1">
      <c r="A166" s="35"/>
      <c r="B166" s="14"/>
      <c r="C166" s="14"/>
      <c r="D166" s="54"/>
      <c r="E166" s="14"/>
      <c r="F166" s="53"/>
      <c r="G166" s="53"/>
    </row>
    <row r="167" ht="18.0" customHeight="1">
      <c r="A167" s="38"/>
      <c r="B167" s="24"/>
      <c r="C167" s="24"/>
      <c r="D167" s="51"/>
      <c r="E167" s="24"/>
      <c r="F167" s="53"/>
      <c r="G167" s="53"/>
    </row>
    <row r="168" ht="18.0" customHeight="1">
      <c r="A168" s="35"/>
      <c r="B168" s="14"/>
      <c r="C168" s="14"/>
      <c r="D168" s="54"/>
      <c r="E168" s="14"/>
      <c r="F168" s="53"/>
      <c r="G168" s="53"/>
    </row>
    <row r="169" ht="18.0" customHeight="1">
      <c r="A169" s="38"/>
      <c r="B169" s="24"/>
      <c r="C169" s="24"/>
      <c r="D169" s="51"/>
      <c r="E169" s="24"/>
      <c r="F169" s="53"/>
      <c r="G169" s="53"/>
    </row>
    <row r="170" ht="18.0" customHeight="1">
      <c r="A170" s="35"/>
      <c r="B170" s="14"/>
      <c r="C170" s="14"/>
      <c r="D170" s="54"/>
      <c r="E170" s="14"/>
      <c r="F170" s="53"/>
      <c r="G170" s="53"/>
    </row>
    <row r="171" ht="18.0" customHeight="1">
      <c r="A171" s="38"/>
      <c r="B171" s="24"/>
      <c r="C171" s="24"/>
      <c r="D171" s="51"/>
      <c r="E171" s="24"/>
      <c r="F171" s="53"/>
      <c r="G171" s="53"/>
    </row>
    <row r="172" ht="18.0" customHeight="1">
      <c r="A172" s="35"/>
      <c r="B172" s="14"/>
      <c r="C172" s="14"/>
      <c r="D172" s="54"/>
      <c r="E172" s="14"/>
      <c r="F172" s="53"/>
      <c r="G172" s="53"/>
    </row>
    <row r="173" ht="18.0" customHeight="1">
      <c r="A173" s="38"/>
      <c r="B173" s="24"/>
      <c r="C173" s="24"/>
      <c r="D173" s="51"/>
      <c r="E173" s="24"/>
      <c r="F173" s="53"/>
      <c r="G173" s="53"/>
    </row>
    <row r="174" ht="18.0" customHeight="1">
      <c r="A174" s="35"/>
      <c r="B174" s="14"/>
      <c r="C174" s="14"/>
      <c r="D174" s="54"/>
      <c r="E174" s="14"/>
      <c r="F174" s="53"/>
      <c r="G174" s="53"/>
    </row>
    <row r="175" ht="18.0" customHeight="1">
      <c r="A175" s="38"/>
      <c r="B175" s="24"/>
      <c r="C175" s="24"/>
      <c r="D175" s="51"/>
      <c r="E175" s="24"/>
      <c r="F175" s="53"/>
      <c r="G175" s="53"/>
    </row>
    <row r="176" ht="18.0" customHeight="1">
      <c r="A176" s="35"/>
      <c r="B176" s="14"/>
      <c r="C176" s="14"/>
      <c r="D176" s="54"/>
      <c r="E176" s="14"/>
      <c r="F176" s="53"/>
      <c r="G176" s="53"/>
    </row>
    <row r="177" ht="18.0" customHeight="1">
      <c r="A177" s="38"/>
      <c r="B177" s="24"/>
      <c r="C177" s="24"/>
      <c r="D177" s="51"/>
      <c r="E177" s="24"/>
      <c r="F177" s="53"/>
      <c r="G177" s="53"/>
    </row>
    <row r="178" ht="18.0" customHeight="1">
      <c r="A178" s="35"/>
      <c r="B178" s="14"/>
      <c r="C178" s="14"/>
      <c r="D178" s="54"/>
      <c r="E178" s="14"/>
      <c r="F178" s="53"/>
      <c r="G178" s="53"/>
    </row>
    <row r="179" ht="18.0" customHeight="1">
      <c r="A179" s="38"/>
      <c r="B179" s="24"/>
      <c r="C179" s="24"/>
      <c r="D179" s="51"/>
      <c r="E179" s="24"/>
      <c r="F179" s="53"/>
      <c r="G179" s="53"/>
    </row>
    <row r="180" ht="18.0" customHeight="1">
      <c r="A180" s="35"/>
      <c r="B180" s="14"/>
      <c r="C180" s="14"/>
      <c r="D180" s="54"/>
      <c r="E180" s="14"/>
      <c r="F180" s="53"/>
      <c r="G180" s="53"/>
    </row>
    <row r="181" ht="18.0" customHeight="1">
      <c r="A181" s="38"/>
      <c r="B181" s="24"/>
      <c r="C181" s="24"/>
      <c r="D181" s="51"/>
      <c r="E181" s="24"/>
      <c r="F181" s="53"/>
      <c r="G181" s="53"/>
    </row>
    <row r="182" ht="18.0" customHeight="1">
      <c r="A182" s="35"/>
      <c r="B182" s="14"/>
      <c r="C182" s="14"/>
      <c r="D182" s="54"/>
      <c r="E182" s="14"/>
      <c r="F182" s="53"/>
      <c r="G182" s="53"/>
    </row>
    <row r="183" ht="18.0" customHeight="1">
      <c r="A183" s="38"/>
      <c r="B183" s="24"/>
      <c r="C183" s="24"/>
      <c r="D183" s="51"/>
      <c r="E183" s="24"/>
      <c r="F183" s="53"/>
      <c r="G183" s="53"/>
    </row>
    <row r="184" ht="18.0" customHeight="1">
      <c r="A184" s="35"/>
      <c r="B184" s="14"/>
      <c r="C184" s="14"/>
      <c r="D184" s="54"/>
      <c r="E184" s="14"/>
      <c r="F184" s="53"/>
      <c r="G184" s="53"/>
    </row>
    <row r="185" ht="18.0" customHeight="1">
      <c r="A185" s="38"/>
      <c r="B185" s="24"/>
      <c r="C185" s="24"/>
      <c r="D185" s="51"/>
      <c r="E185" s="24"/>
      <c r="F185" s="53"/>
      <c r="G185" s="53"/>
    </row>
    <row r="186" ht="18.0" customHeight="1">
      <c r="A186" s="35"/>
      <c r="B186" s="14"/>
      <c r="C186" s="14"/>
      <c r="D186" s="54"/>
      <c r="E186" s="14"/>
      <c r="F186" s="53"/>
      <c r="G186" s="53"/>
    </row>
    <row r="187" ht="18.0" customHeight="1">
      <c r="A187" s="38"/>
      <c r="B187" s="24"/>
      <c r="C187" s="24"/>
      <c r="D187" s="51"/>
      <c r="E187" s="24"/>
      <c r="F187" s="53"/>
      <c r="G187" s="53"/>
    </row>
    <row r="188" ht="18.0" customHeight="1">
      <c r="A188" s="35"/>
      <c r="B188" s="14"/>
      <c r="C188" s="14"/>
      <c r="D188" s="54"/>
      <c r="E188" s="14"/>
      <c r="F188" s="53"/>
      <c r="G188" s="53"/>
    </row>
    <row r="189" ht="18.0" customHeight="1">
      <c r="A189" s="38"/>
      <c r="B189" s="24"/>
      <c r="C189" s="24"/>
      <c r="D189" s="51"/>
      <c r="E189" s="24"/>
      <c r="F189" s="53"/>
      <c r="G189" s="53"/>
    </row>
    <row r="190" ht="18.0" customHeight="1">
      <c r="A190" s="35"/>
      <c r="B190" s="14"/>
      <c r="C190" s="14"/>
      <c r="D190" s="54"/>
      <c r="E190" s="14"/>
      <c r="F190" s="53"/>
      <c r="G190" s="53"/>
    </row>
    <row r="191" ht="18.0" customHeight="1">
      <c r="A191" s="38"/>
      <c r="B191" s="24"/>
      <c r="C191" s="24"/>
      <c r="D191" s="51"/>
      <c r="E191" s="24"/>
      <c r="F191" s="53"/>
      <c r="G191" s="53"/>
    </row>
    <row r="192" ht="18.0" customHeight="1">
      <c r="A192" s="35"/>
      <c r="B192" s="14"/>
      <c r="C192" s="14"/>
      <c r="D192" s="54"/>
      <c r="E192" s="14"/>
      <c r="F192" s="53"/>
      <c r="G192" s="53"/>
    </row>
    <row r="193" ht="18.0" customHeight="1">
      <c r="A193" s="38"/>
      <c r="B193" s="24"/>
      <c r="C193" s="24"/>
      <c r="D193" s="51"/>
      <c r="E193" s="24"/>
      <c r="F193" s="53"/>
      <c r="G193" s="53"/>
    </row>
    <row r="194" ht="18.0" customHeight="1">
      <c r="A194" s="35"/>
      <c r="B194" s="14"/>
      <c r="C194" s="14"/>
      <c r="D194" s="54"/>
      <c r="E194" s="14"/>
      <c r="F194" s="53"/>
      <c r="G194" s="53"/>
    </row>
    <row r="195" ht="18.0" customHeight="1">
      <c r="A195" s="38"/>
      <c r="B195" s="24"/>
      <c r="C195" s="24"/>
      <c r="D195" s="51"/>
      <c r="E195" s="24"/>
      <c r="F195" s="53"/>
      <c r="G195" s="53"/>
    </row>
    <row r="196" ht="18.0" customHeight="1">
      <c r="A196" s="35"/>
      <c r="B196" s="14"/>
      <c r="C196" s="14"/>
      <c r="D196" s="54"/>
      <c r="E196" s="14"/>
      <c r="F196" s="53"/>
      <c r="G196" s="53"/>
    </row>
    <row r="197" ht="18.0" customHeight="1">
      <c r="A197" s="38"/>
      <c r="B197" s="24"/>
      <c r="C197" s="24"/>
      <c r="D197" s="51"/>
      <c r="E197" s="24"/>
      <c r="F197" s="53"/>
      <c r="G197" s="53"/>
    </row>
    <row r="198" ht="18.0" customHeight="1">
      <c r="A198" s="35"/>
      <c r="B198" s="14"/>
      <c r="C198" s="14"/>
      <c r="D198" s="54"/>
      <c r="E198" s="14"/>
      <c r="F198" s="53"/>
      <c r="G198" s="53"/>
    </row>
    <row r="199" ht="18.0" customHeight="1">
      <c r="A199" s="38"/>
      <c r="B199" s="24"/>
      <c r="C199" s="24"/>
      <c r="D199" s="51"/>
      <c r="E199" s="24"/>
      <c r="F199" s="53"/>
      <c r="G199" s="53"/>
    </row>
    <row r="200" ht="18.0" customHeight="1">
      <c r="A200" s="35"/>
      <c r="B200" s="14"/>
      <c r="C200" s="14"/>
      <c r="D200" s="54"/>
      <c r="E200" s="14"/>
      <c r="F200" s="53"/>
      <c r="G200" s="53"/>
    </row>
    <row r="201" ht="18.0" customHeight="1">
      <c r="A201" s="38"/>
      <c r="B201" s="24"/>
      <c r="C201" s="24"/>
      <c r="D201" s="51"/>
      <c r="E201" s="24"/>
      <c r="F201" s="53"/>
      <c r="G201" s="53"/>
    </row>
    <row r="202" ht="18.0" customHeight="1">
      <c r="A202" s="35"/>
      <c r="B202" s="14"/>
      <c r="C202" s="14"/>
      <c r="D202" s="54"/>
      <c r="E202" s="14"/>
      <c r="F202" s="53"/>
      <c r="G202" s="53"/>
    </row>
    <row r="203" ht="18.0" customHeight="1">
      <c r="A203" s="38"/>
      <c r="B203" s="24"/>
      <c r="C203" s="24"/>
      <c r="D203" s="51"/>
      <c r="E203" s="24"/>
      <c r="F203" s="53"/>
      <c r="G203" s="53"/>
    </row>
    <row r="204" ht="18.0" customHeight="1">
      <c r="A204" s="35"/>
      <c r="B204" s="14"/>
      <c r="C204" s="14"/>
      <c r="D204" s="54"/>
      <c r="E204" s="14"/>
      <c r="F204" s="53"/>
      <c r="G204" s="53"/>
    </row>
    <row r="205" ht="18.0" customHeight="1">
      <c r="A205" s="38"/>
      <c r="B205" s="24"/>
      <c r="C205" s="24"/>
      <c r="D205" s="51"/>
      <c r="E205" s="24"/>
      <c r="F205" s="53"/>
      <c r="G205" s="53"/>
    </row>
    <row r="206" ht="18.0" customHeight="1">
      <c r="A206" s="35"/>
      <c r="B206" s="14"/>
      <c r="C206" s="14"/>
      <c r="D206" s="54"/>
      <c r="E206" s="14"/>
      <c r="F206" s="53"/>
      <c r="G206" s="53"/>
    </row>
    <row r="207" ht="18.0" customHeight="1">
      <c r="A207" s="38"/>
      <c r="B207" s="24"/>
      <c r="C207" s="24"/>
      <c r="D207" s="51"/>
      <c r="E207" s="24"/>
      <c r="F207" s="53"/>
      <c r="G207" s="53"/>
    </row>
    <row r="208" ht="18.0" customHeight="1">
      <c r="A208" s="35"/>
      <c r="B208" s="14"/>
      <c r="C208" s="14"/>
      <c r="D208" s="54"/>
      <c r="E208" s="14"/>
      <c r="F208" s="53"/>
      <c r="G208" s="53"/>
    </row>
    <row r="209" ht="18.0" customHeight="1">
      <c r="A209" s="38"/>
      <c r="B209" s="24"/>
      <c r="C209" s="24"/>
      <c r="D209" s="51"/>
      <c r="E209" s="24"/>
      <c r="F209" s="53"/>
      <c r="G209" s="53"/>
    </row>
    <row r="210" ht="18.0" customHeight="1">
      <c r="A210" s="35"/>
      <c r="B210" s="14"/>
      <c r="C210" s="14"/>
      <c r="D210" s="54"/>
      <c r="E210" s="14"/>
      <c r="F210" s="53"/>
      <c r="G210" s="53"/>
    </row>
    <row r="211" ht="18.0" customHeight="1">
      <c r="A211" s="38"/>
      <c r="B211" s="24"/>
      <c r="C211" s="24"/>
      <c r="D211" s="51"/>
      <c r="E211" s="24"/>
      <c r="F211" s="53"/>
      <c r="G211" s="53"/>
    </row>
    <row r="212" ht="18.0" customHeight="1">
      <c r="A212" s="35"/>
      <c r="B212" s="14"/>
      <c r="C212" s="14"/>
      <c r="D212" s="54"/>
      <c r="E212" s="14"/>
      <c r="F212" s="53"/>
      <c r="G212" s="53"/>
    </row>
    <row r="213" ht="18.0" customHeight="1">
      <c r="A213" s="38"/>
      <c r="B213" s="24"/>
      <c r="C213" s="24"/>
      <c r="D213" s="51"/>
      <c r="E213" s="24"/>
      <c r="F213" s="53"/>
      <c r="G213" s="53"/>
    </row>
    <row r="214" ht="18.0" customHeight="1">
      <c r="A214" s="35"/>
      <c r="B214" s="14"/>
      <c r="C214" s="14"/>
      <c r="D214" s="54"/>
      <c r="E214" s="14"/>
      <c r="F214" s="53"/>
      <c r="G214" s="53"/>
    </row>
    <row r="215" ht="18.0" customHeight="1">
      <c r="A215" s="38"/>
      <c r="B215" s="24"/>
      <c r="C215" s="24"/>
      <c r="D215" s="51"/>
      <c r="E215" s="24"/>
      <c r="F215" s="53"/>
      <c r="G215" s="53"/>
    </row>
    <row r="216" ht="18.0" customHeight="1">
      <c r="A216" s="35"/>
      <c r="B216" s="14"/>
      <c r="C216" s="14"/>
      <c r="D216" s="54"/>
      <c r="E216" s="14"/>
      <c r="F216" s="53"/>
      <c r="G216" s="53"/>
    </row>
    <row r="217" ht="18.0" customHeight="1">
      <c r="A217" s="38"/>
      <c r="B217" s="24"/>
      <c r="C217" s="24"/>
      <c r="D217" s="51"/>
      <c r="E217" s="24"/>
      <c r="F217" s="53"/>
      <c r="G217" s="53"/>
    </row>
    <row r="218" ht="18.0" customHeight="1">
      <c r="A218" s="35"/>
      <c r="B218" s="14"/>
      <c r="C218" s="14"/>
      <c r="D218" s="54"/>
      <c r="E218" s="14"/>
      <c r="F218" s="53"/>
      <c r="G218" s="53"/>
    </row>
    <row r="219" ht="18.0" customHeight="1">
      <c r="A219" s="38"/>
      <c r="B219" s="24"/>
      <c r="C219" s="24"/>
      <c r="D219" s="51"/>
      <c r="E219" s="24"/>
      <c r="F219" s="53"/>
      <c r="G219" s="53"/>
    </row>
    <row r="220" ht="18.0" customHeight="1">
      <c r="A220" s="35"/>
      <c r="B220" s="14"/>
      <c r="C220" s="14"/>
      <c r="D220" s="54"/>
      <c r="E220" s="14"/>
      <c r="F220" s="53"/>
      <c r="G220" s="53"/>
    </row>
    <row r="221" ht="18.0" customHeight="1">
      <c r="A221" s="38"/>
      <c r="B221" s="24"/>
      <c r="C221" s="24"/>
      <c r="D221" s="51"/>
      <c r="E221" s="24"/>
      <c r="F221" s="53"/>
      <c r="G221" s="53"/>
    </row>
    <row r="222" ht="18.0" customHeight="1">
      <c r="A222" s="35"/>
      <c r="B222" s="14"/>
      <c r="C222" s="14"/>
      <c r="D222" s="54"/>
      <c r="E222" s="14"/>
      <c r="F222" s="53"/>
      <c r="G222" s="53"/>
    </row>
    <row r="223" ht="18.0" customHeight="1">
      <c r="A223" s="38"/>
      <c r="B223" s="24"/>
      <c r="C223" s="24"/>
      <c r="D223" s="51"/>
      <c r="E223" s="24"/>
      <c r="F223" s="53"/>
      <c r="G223" s="53"/>
    </row>
    <row r="224" ht="18.0" customHeight="1">
      <c r="A224" s="35"/>
      <c r="B224" s="14"/>
      <c r="C224" s="14"/>
      <c r="D224" s="54"/>
      <c r="E224" s="14"/>
      <c r="F224" s="53"/>
      <c r="G224" s="53"/>
    </row>
    <row r="225" ht="18.0" customHeight="1">
      <c r="A225" s="38"/>
      <c r="B225" s="24"/>
      <c r="C225" s="24"/>
      <c r="D225" s="51"/>
      <c r="E225" s="24"/>
      <c r="F225" s="53"/>
      <c r="G225" s="53"/>
    </row>
    <row r="226" ht="18.0" customHeight="1">
      <c r="A226" s="35"/>
      <c r="B226" s="14"/>
      <c r="C226" s="14"/>
      <c r="D226" s="54"/>
      <c r="E226" s="14"/>
      <c r="F226" s="53"/>
      <c r="G226" s="53"/>
    </row>
    <row r="227" ht="18.0" customHeight="1">
      <c r="A227" s="38"/>
      <c r="B227" s="24"/>
      <c r="C227" s="24"/>
      <c r="D227" s="51"/>
      <c r="E227" s="24"/>
      <c r="F227" s="53"/>
      <c r="G227" s="53"/>
    </row>
    <row r="228" ht="18.0" customHeight="1">
      <c r="A228" s="35"/>
      <c r="B228" s="14"/>
      <c r="C228" s="14"/>
      <c r="D228" s="54"/>
      <c r="E228" s="14"/>
      <c r="F228" s="53"/>
      <c r="G228" s="53"/>
    </row>
    <row r="229" ht="18.0" customHeight="1">
      <c r="A229" s="38"/>
      <c r="B229" s="24"/>
      <c r="C229" s="24"/>
      <c r="D229" s="51"/>
      <c r="E229" s="24"/>
      <c r="F229" s="53"/>
      <c r="G229" s="53"/>
    </row>
    <row r="230" ht="18.0" customHeight="1">
      <c r="A230" s="35"/>
      <c r="B230" s="14"/>
      <c r="C230" s="14"/>
      <c r="D230" s="54"/>
      <c r="E230" s="14"/>
      <c r="F230" s="53"/>
      <c r="G230" s="53"/>
    </row>
    <row r="231" ht="18.0" customHeight="1">
      <c r="A231" s="38"/>
      <c r="B231" s="24"/>
      <c r="C231" s="24"/>
      <c r="D231" s="51"/>
      <c r="E231" s="24"/>
      <c r="F231" s="53"/>
      <c r="G231" s="53"/>
    </row>
    <row r="232" ht="18.0" customHeight="1">
      <c r="A232" s="35"/>
      <c r="B232" s="14"/>
      <c r="C232" s="14"/>
      <c r="D232" s="54"/>
      <c r="E232" s="14"/>
      <c r="F232" s="53"/>
      <c r="G232" s="53"/>
    </row>
    <row r="233" ht="18.0" customHeight="1">
      <c r="A233" s="38"/>
      <c r="B233" s="24"/>
      <c r="C233" s="24"/>
      <c r="D233" s="51"/>
      <c r="E233" s="24"/>
      <c r="F233" s="53"/>
      <c r="G233" s="53"/>
    </row>
    <row r="234" ht="18.0" customHeight="1">
      <c r="A234" s="35"/>
      <c r="B234" s="14"/>
      <c r="C234" s="14"/>
      <c r="D234" s="54"/>
      <c r="E234" s="14"/>
      <c r="F234" s="53"/>
      <c r="G234" s="53"/>
    </row>
    <row r="235" ht="18.0" customHeight="1">
      <c r="A235" s="38"/>
      <c r="B235" s="24"/>
      <c r="C235" s="24"/>
      <c r="D235" s="51"/>
      <c r="E235" s="24"/>
      <c r="F235" s="53"/>
      <c r="G235" s="53"/>
    </row>
    <row r="236" ht="18.0" customHeight="1">
      <c r="A236" s="35"/>
      <c r="B236" s="14"/>
      <c r="C236" s="14"/>
      <c r="D236" s="54"/>
      <c r="E236" s="14"/>
      <c r="F236" s="53"/>
      <c r="G236" s="53"/>
    </row>
    <row r="237" ht="18.0" customHeight="1">
      <c r="A237" s="38"/>
      <c r="B237" s="24"/>
      <c r="C237" s="24"/>
      <c r="D237" s="51"/>
      <c r="E237" s="24"/>
      <c r="F237" s="53"/>
      <c r="G237" s="53"/>
    </row>
    <row r="238" ht="18.0" customHeight="1">
      <c r="A238" s="35"/>
      <c r="B238" s="14"/>
      <c r="C238" s="14"/>
      <c r="D238" s="54"/>
      <c r="E238" s="14"/>
      <c r="F238" s="53"/>
      <c r="G238" s="53"/>
    </row>
    <row r="239" ht="18.0" customHeight="1">
      <c r="A239" s="38"/>
      <c r="B239" s="24"/>
      <c r="C239" s="24"/>
      <c r="D239" s="51"/>
      <c r="E239" s="24"/>
      <c r="F239" s="53"/>
      <c r="G239" s="53"/>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2:D1000">
    <cfRule type="cellIs" dxfId="0" priority="1" operator="greaterThanOrEqual">
      <formula>8</formula>
    </cfRule>
  </conditionalFormatting>
  <conditionalFormatting sqref="D2:D1000">
    <cfRule type="cellIs" dxfId="1" priority="2" operator="between">
      <formula>7</formula>
      <formula>7.99</formula>
    </cfRule>
  </conditionalFormatting>
  <conditionalFormatting sqref="D2:D1000">
    <cfRule type="cellIs" dxfId="2" priority="3" operator="lessThan">
      <formula>7</formula>
    </cfRule>
  </conditionalFormatting>
  <conditionalFormatting sqref="A2:E1000">
    <cfRule type="expression" dxfId="3" priority="4">
      <formula>$C2="Overall"</formula>
    </cfRule>
  </conditionalFormatting>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78BFA"/>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3.0"/>
    <col customWidth="1" min="2" max="2" width="32.0"/>
    <col customWidth="1" min="3" max="3" width="12.0"/>
    <col customWidth="1" min="4" max="4" width="8.0"/>
    <col customWidth="1" min="5" max="5" width="171.0"/>
    <col customWidth="1" min="6" max="6" width="14.0"/>
    <col customWidth="1" min="7" max="7" width="8.0"/>
  </cols>
  <sheetData>
    <row r="1">
      <c r="A1" s="2" t="s">
        <v>0</v>
      </c>
      <c r="B1" s="2" t="s">
        <v>6</v>
      </c>
      <c r="C1" s="2" t="s">
        <v>8</v>
      </c>
      <c r="D1" s="2" t="s">
        <v>2</v>
      </c>
      <c r="E1" s="3" t="s">
        <v>9</v>
      </c>
      <c r="F1" s="2" t="s">
        <v>10</v>
      </c>
      <c r="G1" s="11">
        <f>COUNTA(A:A)-1</f>
        <v>44</v>
      </c>
    </row>
    <row r="2">
      <c r="A2" s="12">
        <v>45696.0</v>
      </c>
      <c r="B2" s="14" t="s">
        <v>23</v>
      </c>
      <c r="C2" s="14" t="s">
        <v>24</v>
      </c>
      <c r="D2" s="15">
        <v>9.0</v>
      </c>
      <c r="E2" s="16"/>
      <c r="F2" s="17" t="s">
        <v>28</v>
      </c>
      <c r="G2" s="18">
        <f>IFERROR(AVERAGE(D2:D10000),0)</f>
        <v>8.559090909</v>
      </c>
    </row>
    <row r="3">
      <c r="A3" s="20">
        <v>45698.0</v>
      </c>
      <c r="B3" s="24" t="s">
        <v>23</v>
      </c>
      <c r="C3" s="24" t="s">
        <v>37</v>
      </c>
      <c r="D3" s="26">
        <v>9.0</v>
      </c>
      <c r="E3" s="27"/>
      <c r="F3" s="25"/>
      <c r="G3" s="25"/>
    </row>
    <row r="4">
      <c r="A4" s="12">
        <v>45700.0</v>
      </c>
      <c r="B4" s="14" t="s">
        <v>23</v>
      </c>
      <c r="C4" s="14" t="s">
        <v>34</v>
      </c>
      <c r="D4" s="15">
        <v>8.7</v>
      </c>
      <c r="E4" s="16"/>
      <c r="F4" s="25"/>
      <c r="G4" s="25"/>
    </row>
    <row r="5">
      <c r="A5" s="20">
        <v>45701.0</v>
      </c>
      <c r="B5" s="24" t="s">
        <v>23</v>
      </c>
      <c r="C5" s="24" t="s">
        <v>49</v>
      </c>
      <c r="D5" s="26">
        <v>9.0</v>
      </c>
      <c r="E5" s="27"/>
      <c r="F5" s="25"/>
      <c r="G5" s="25"/>
    </row>
    <row r="6">
      <c r="A6" s="12">
        <v>45702.0</v>
      </c>
      <c r="B6" s="14" t="s">
        <v>23</v>
      </c>
      <c r="C6" s="14" t="s">
        <v>51</v>
      </c>
      <c r="D6" s="15">
        <v>9.0</v>
      </c>
      <c r="E6" s="16"/>
      <c r="F6" s="25"/>
      <c r="G6" s="25"/>
    </row>
    <row r="7">
      <c r="A7" s="19">
        <v>45702.0</v>
      </c>
      <c r="B7" s="21" t="s">
        <v>23</v>
      </c>
      <c r="C7" s="21" t="s">
        <v>29</v>
      </c>
      <c r="D7" s="23">
        <v>9.2</v>
      </c>
      <c r="E7" s="32"/>
      <c r="F7" s="25"/>
      <c r="G7" s="25"/>
    </row>
    <row r="8">
      <c r="A8" s="12">
        <v>45734.0</v>
      </c>
      <c r="B8" s="14" t="s">
        <v>57</v>
      </c>
      <c r="C8" s="14" t="s">
        <v>58</v>
      </c>
      <c r="D8" s="15">
        <v>8.1</v>
      </c>
      <c r="E8" s="16"/>
      <c r="F8" s="25"/>
      <c r="G8" s="25"/>
    </row>
    <row r="9">
      <c r="A9" s="20">
        <v>45736.0</v>
      </c>
      <c r="B9" s="24" t="s">
        <v>60</v>
      </c>
      <c r="C9" s="24" t="s">
        <v>58</v>
      </c>
      <c r="D9" s="26">
        <v>8.1</v>
      </c>
      <c r="E9" s="27"/>
      <c r="F9" s="25"/>
      <c r="G9" s="25"/>
    </row>
    <row r="10">
      <c r="A10" s="12">
        <v>45740.0</v>
      </c>
      <c r="B10" s="14" t="s">
        <v>62</v>
      </c>
      <c r="C10" s="14" t="s">
        <v>24</v>
      </c>
      <c r="D10" s="15">
        <v>8.0</v>
      </c>
      <c r="E10" s="16"/>
      <c r="F10" s="25"/>
      <c r="G10" s="25"/>
    </row>
    <row r="11">
      <c r="A11" s="20">
        <v>45747.0</v>
      </c>
      <c r="B11" s="24" t="s">
        <v>64</v>
      </c>
      <c r="C11" s="24" t="s">
        <v>37</v>
      </c>
      <c r="D11" s="26">
        <v>9.2</v>
      </c>
      <c r="E11" s="27"/>
      <c r="F11" s="25"/>
      <c r="G11" s="25"/>
    </row>
    <row r="12">
      <c r="A12" s="12">
        <v>45772.0</v>
      </c>
      <c r="B12" s="14" t="s">
        <v>67</v>
      </c>
      <c r="C12" s="14" t="s">
        <v>24</v>
      </c>
      <c r="D12" s="15">
        <v>9.0</v>
      </c>
      <c r="E12" s="16"/>
      <c r="F12" s="25"/>
      <c r="G12" s="25"/>
    </row>
    <row r="13">
      <c r="A13" s="20">
        <v>45776.0</v>
      </c>
      <c r="B13" s="24" t="s">
        <v>67</v>
      </c>
      <c r="C13" s="24" t="s">
        <v>37</v>
      </c>
      <c r="D13" s="26">
        <v>9.0</v>
      </c>
      <c r="E13" s="27"/>
      <c r="F13" s="25"/>
      <c r="G13" s="25"/>
    </row>
    <row r="14">
      <c r="A14" s="12">
        <v>45779.0</v>
      </c>
      <c r="B14" s="14" t="s">
        <v>73</v>
      </c>
      <c r="C14" s="14" t="s">
        <v>24</v>
      </c>
      <c r="D14" s="15">
        <v>8.5</v>
      </c>
      <c r="E14" s="16"/>
      <c r="F14" s="25"/>
      <c r="G14" s="25"/>
    </row>
    <row r="15">
      <c r="A15" s="20">
        <v>45784.0</v>
      </c>
      <c r="B15" s="24" t="s">
        <v>74</v>
      </c>
      <c r="C15" s="24" t="s">
        <v>24</v>
      </c>
      <c r="D15" s="26">
        <v>8.5</v>
      </c>
      <c r="E15" s="27"/>
      <c r="F15" s="25"/>
      <c r="G15" s="25"/>
    </row>
    <row r="16">
      <c r="A16" s="12">
        <v>45786.0</v>
      </c>
      <c r="B16" s="14" t="s">
        <v>74</v>
      </c>
      <c r="C16" s="14" t="s">
        <v>37</v>
      </c>
      <c r="D16" s="15">
        <v>8.6</v>
      </c>
      <c r="E16" s="16"/>
      <c r="F16" s="25"/>
      <c r="G16" s="25"/>
    </row>
    <row r="17">
      <c r="A17" s="20">
        <v>45790.0</v>
      </c>
      <c r="B17" s="24" t="s">
        <v>74</v>
      </c>
      <c r="C17" s="24" t="s">
        <v>34</v>
      </c>
      <c r="D17" s="26">
        <v>8.4</v>
      </c>
      <c r="E17" s="27"/>
      <c r="F17" s="25"/>
      <c r="G17" s="25"/>
    </row>
    <row r="18">
      <c r="A18" s="19">
        <v>45790.0</v>
      </c>
      <c r="B18" s="21" t="s">
        <v>74</v>
      </c>
      <c r="C18" s="21" t="s">
        <v>29</v>
      </c>
      <c r="D18" s="23">
        <v>9.1</v>
      </c>
      <c r="E18" s="32"/>
      <c r="F18" s="25"/>
      <c r="G18" s="25"/>
    </row>
    <row r="19">
      <c r="A19" s="20">
        <v>45798.0</v>
      </c>
      <c r="B19" s="24" t="s">
        <v>81</v>
      </c>
      <c r="C19" s="24" t="s">
        <v>58</v>
      </c>
      <c r="D19" s="26">
        <v>8.0</v>
      </c>
      <c r="E19" s="27"/>
      <c r="F19" s="25"/>
      <c r="G19" s="25"/>
    </row>
    <row r="20">
      <c r="A20" s="12">
        <v>45849.0</v>
      </c>
      <c r="B20" s="14" t="s">
        <v>84</v>
      </c>
      <c r="C20" s="14" t="s">
        <v>24</v>
      </c>
      <c r="D20" s="15">
        <v>9.3</v>
      </c>
      <c r="E20" s="16"/>
      <c r="F20" s="25"/>
      <c r="G20" s="25"/>
    </row>
    <row r="21">
      <c r="A21" s="20">
        <v>45921.0</v>
      </c>
      <c r="B21" s="24" t="s">
        <v>73</v>
      </c>
      <c r="C21" s="24" t="s">
        <v>37</v>
      </c>
      <c r="D21" s="26">
        <v>8.3</v>
      </c>
      <c r="E21" s="27"/>
      <c r="F21" s="25"/>
      <c r="G21" s="25"/>
    </row>
    <row r="22">
      <c r="A22" s="12">
        <v>46053.0</v>
      </c>
      <c r="B22" s="14" t="s">
        <v>86</v>
      </c>
      <c r="C22" s="14" t="s">
        <v>87</v>
      </c>
      <c r="D22" s="15">
        <v>9.0</v>
      </c>
      <c r="E22" s="16"/>
      <c r="F22" s="25"/>
      <c r="G22" s="25"/>
    </row>
    <row r="23">
      <c r="A23" s="20">
        <v>46056.0</v>
      </c>
      <c r="B23" s="24" t="s">
        <v>88</v>
      </c>
      <c r="C23" s="24" t="s">
        <v>24</v>
      </c>
      <c r="D23" s="26">
        <v>8.0</v>
      </c>
      <c r="E23" s="27"/>
      <c r="F23" s="25"/>
      <c r="G23" s="25"/>
    </row>
    <row r="24">
      <c r="A24" s="12">
        <v>46060.0</v>
      </c>
      <c r="B24" s="14" t="s">
        <v>62</v>
      </c>
      <c r="C24" s="14" t="s">
        <v>37</v>
      </c>
      <c r="D24" s="15">
        <v>8.0</v>
      </c>
      <c r="E24" s="16"/>
      <c r="F24" s="25"/>
      <c r="G24" s="25"/>
    </row>
    <row r="25">
      <c r="A25" s="20">
        <v>46064.0</v>
      </c>
      <c r="B25" s="24" t="s">
        <v>90</v>
      </c>
      <c r="C25" s="24" t="s">
        <v>24</v>
      </c>
      <c r="D25" s="26">
        <v>8.8</v>
      </c>
      <c r="E25" s="27"/>
      <c r="F25" s="25"/>
      <c r="G25" s="25"/>
    </row>
    <row r="26">
      <c r="A26" s="12">
        <v>46065.0</v>
      </c>
      <c r="B26" s="14" t="s">
        <v>90</v>
      </c>
      <c r="C26" s="14" t="s">
        <v>37</v>
      </c>
      <c r="D26" s="15">
        <v>8.7</v>
      </c>
      <c r="E26" s="16"/>
      <c r="F26" s="25"/>
      <c r="G26" s="25"/>
    </row>
    <row r="27">
      <c r="A27" s="20">
        <v>46066.0</v>
      </c>
      <c r="B27" s="24" t="s">
        <v>94</v>
      </c>
      <c r="C27" s="24" t="s">
        <v>58</v>
      </c>
      <c r="D27" s="26">
        <v>8.0</v>
      </c>
      <c r="E27" s="27"/>
      <c r="F27" s="25"/>
      <c r="G27" s="25"/>
    </row>
    <row r="28">
      <c r="A28" s="12">
        <v>46070.0</v>
      </c>
      <c r="B28" s="14" t="s">
        <v>90</v>
      </c>
      <c r="C28" s="14" t="s">
        <v>34</v>
      </c>
      <c r="D28" s="15">
        <v>8.6</v>
      </c>
      <c r="E28" s="16"/>
      <c r="F28" s="25"/>
      <c r="G28" s="25"/>
    </row>
    <row r="29">
      <c r="A29" s="20">
        <v>46077.0</v>
      </c>
      <c r="B29" s="24" t="s">
        <v>99</v>
      </c>
      <c r="C29" s="24" t="s">
        <v>24</v>
      </c>
      <c r="D29" s="26">
        <v>8.8</v>
      </c>
      <c r="E29" s="27"/>
      <c r="F29" s="25"/>
      <c r="G29" s="25"/>
    </row>
    <row r="30">
      <c r="A30" s="35" t="s">
        <v>101</v>
      </c>
      <c r="B30" s="14" t="s">
        <v>88</v>
      </c>
      <c r="C30" s="14" t="s">
        <v>37</v>
      </c>
      <c r="D30" s="15">
        <v>8.2</v>
      </c>
      <c r="E30" s="16"/>
      <c r="F30" s="25"/>
      <c r="G30" s="25"/>
    </row>
    <row r="31">
      <c r="A31" s="20">
        <v>46084.0</v>
      </c>
      <c r="B31" s="24" t="s">
        <v>88</v>
      </c>
      <c r="C31" s="24" t="s">
        <v>34</v>
      </c>
      <c r="D31" s="26">
        <v>8.3</v>
      </c>
      <c r="E31" s="27"/>
      <c r="F31" s="25"/>
      <c r="G31" s="25"/>
    </row>
    <row r="32">
      <c r="A32" s="12">
        <v>46110.0</v>
      </c>
      <c r="B32" s="14" t="s">
        <v>99</v>
      </c>
      <c r="C32" s="14" t="s">
        <v>37</v>
      </c>
      <c r="D32" s="15">
        <v>8.5</v>
      </c>
      <c r="E32" s="16"/>
      <c r="F32" s="25"/>
      <c r="G32" s="25"/>
    </row>
    <row r="33">
      <c r="A33" s="20">
        <v>46110.0</v>
      </c>
      <c r="B33" s="24" t="s">
        <v>88</v>
      </c>
      <c r="C33" s="24" t="s">
        <v>49</v>
      </c>
      <c r="D33" s="26">
        <v>8.4</v>
      </c>
      <c r="E33" s="27"/>
      <c r="F33" s="25"/>
      <c r="G33" s="25"/>
    </row>
    <row r="34">
      <c r="A34" s="12">
        <v>46144.0</v>
      </c>
      <c r="B34" s="14" t="s">
        <v>88</v>
      </c>
      <c r="C34" s="14" t="s">
        <v>51</v>
      </c>
      <c r="D34" s="15">
        <v>8.4</v>
      </c>
      <c r="E34" s="16"/>
      <c r="F34" s="25"/>
      <c r="G34" s="25"/>
    </row>
    <row r="35">
      <c r="A35" s="20">
        <v>46144.0</v>
      </c>
      <c r="B35" s="24" t="s">
        <v>106</v>
      </c>
      <c r="C35" s="24" t="s">
        <v>24</v>
      </c>
      <c r="D35" s="26">
        <v>7.9</v>
      </c>
      <c r="E35" s="27"/>
      <c r="F35" s="25"/>
      <c r="G35" s="25"/>
    </row>
    <row r="36">
      <c r="A36" s="12">
        <v>46149.0</v>
      </c>
      <c r="B36" s="14" t="s">
        <v>106</v>
      </c>
      <c r="C36" s="14" t="s">
        <v>37</v>
      </c>
      <c r="D36" s="15">
        <v>7.8</v>
      </c>
      <c r="E36" s="16"/>
      <c r="F36" s="25"/>
      <c r="G36" s="25"/>
    </row>
    <row r="37">
      <c r="A37" s="20">
        <v>46160.0</v>
      </c>
      <c r="B37" s="24" t="s">
        <v>110</v>
      </c>
      <c r="C37" s="24" t="s">
        <v>58</v>
      </c>
      <c r="D37" s="26">
        <v>8.0</v>
      </c>
      <c r="E37" s="27"/>
      <c r="F37" s="25"/>
      <c r="G37" s="25"/>
    </row>
    <row r="38">
      <c r="A38" s="12">
        <v>46162.0</v>
      </c>
      <c r="B38" s="14" t="s">
        <v>88</v>
      </c>
      <c r="C38" s="14" t="s">
        <v>52</v>
      </c>
      <c r="D38" s="15">
        <v>8.5</v>
      </c>
      <c r="E38" s="16"/>
      <c r="F38" s="25"/>
      <c r="G38" s="25"/>
    </row>
    <row r="39">
      <c r="A39" s="42">
        <v>46185.0</v>
      </c>
      <c r="B39" s="33" t="s">
        <v>88</v>
      </c>
      <c r="C39" s="33" t="s">
        <v>65</v>
      </c>
      <c r="D39" s="43">
        <v>8.6</v>
      </c>
      <c r="E39" s="44" t="s">
        <v>120</v>
      </c>
      <c r="F39" s="25"/>
      <c r="G39" s="25"/>
    </row>
    <row r="40">
      <c r="A40" s="45">
        <v>46192.0</v>
      </c>
      <c r="B40" s="36" t="s">
        <v>88</v>
      </c>
      <c r="C40" s="36" t="s">
        <v>22</v>
      </c>
      <c r="D40" s="46">
        <v>8.5</v>
      </c>
      <c r="E40" s="48" t="s">
        <v>125</v>
      </c>
      <c r="F40" s="25"/>
      <c r="G40" s="25"/>
    </row>
    <row r="41">
      <c r="A41" s="42">
        <v>46192.0</v>
      </c>
      <c r="B41" s="33" t="s">
        <v>88</v>
      </c>
      <c r="C41" s="33" t="s">
        <v>29</v>
      </c>
      <c r="D41" s="43">
        <v>9.2</v>
      </c>
      <c r="E41" s="44" t="s">
        <v>130</v>
      </c>
      <c r="F41" s="25"/>
      <c r="G41" s="25"/>
    </row>
    <row r="42">
      <c r="A42" s="45">
        <v>46192.0</v>
      </c>
      <c r="B42" s="36" t="s">
        <v>132</v>
      </c>
      <c r="C42" s="36" t="s">
        <v>58</v>
      </c>
      <c r="D42" s="46">
        <v>8.5</v>
      </c>
      <c r="E42" s="48" t="s">
        <v>135</v>
      </c>
      <c r="F42" s="25"/>
      <c r="G42" s="25"/>
    </row>
    <row r="43">
      <c r="A43" s="42">
        <v>46202.0</v>
      </c>
      <c r="B43" s="33" t="s">
        <v>138</v>
      </c>
      <c r="C43" s="33" t="s">
        <v>29</v>
      </c>
      <c r="D43" s="43">
        <v>8.0</v>
      </c>
      <c r="E43" s="44" t="s">
        <v>139</v>
      </c>
      <c r="F43" s="25"/>
      <c r="G43" s="25"/>
    </row>
    <row r="44">
      <c r="A44" s="45">
        <v>46213.0</v>
      </c>
      <c r="B44" s="36" t="s">
        <v>110</v>
      </c>
      <c r="C44" s="36" t="s">
        <v>34</v>
      </c>
      <c r="D44" s="46">
        <v>8.4</v>
      </c>
      <c r="E44" s="48" t="s">
        <v>143</v>
      </c>
      <c r="F44" s="25"/>
      <c r="G44" s="25"/>
    </row>
    <row r="45">
      <c r="A45" s="42">
        <v>46230.0</v>
      </c>
      <c r="B45" s="33" t="s">
        <v>145</v>
      </c>
      <c r="C45" s="33" t="s">
        <v>24</v>
      </c>
      <c r="D45" s="43">
        <v>9.5</v>
      </c>
      <c r="E45" s="44" t="s">
        <v>146</v>
      </c>
      <c r="F45" s="25"/>
      <c r="G45" s="25"/>
    </row>
    <row r="46">
      <c r="A46" s="35"/>
      <c r="B46" s="14"/>
      <c r="C46" s="14"/>
      <c r="D46" s="37"/>
      <c r="E46" s="16"/>
      <c r="F46" s="25"/>
      <c r="G46" s="25"/>
    </row>
    <row r="47">
      <c r="A47" s="38"/>
      <c r="B47" s="24"/>
      <c r="C47" s="24"/>
      <c r="D47" s="39"/>
      <c r="E47" s="27"/>
      <c r="F47" s="25"/>
      <c r="G47" s="25"/>
    </row>
    <row r="48">
      <c r="A48" s="35"/>
      <c r="B48" s="14"/>
      <c r="C48" s="14"/>
      <c r="D48" s="37"/>
      <c r="E48" s="16"/>
      <c r="F48" s="25"/>
      <c r="G48" s="25"/>
    </row>
    <row r="49">
      <c r="A49" s="38"/>
      <c r="B49" s="24"/>
      <c r="C49" s="24"/>
      <c r="D49" s="39"/>
      <c r="E49" s="27"/>
      <c r="F49" s="25"/>
      <c r="G49" s="25"/>
    </row>
    <row r="50">
      <c r="A50" s="35"/>
      <c r="B50" s="14"/>
      <c r="C50" s="14"/>
      <c r="D50" s="37"/>
      <c r="E50" s="16"/>
      <c r="F50" s="25"/>
      <c r="G50" s="25"/>
    </row>
    <row r="51">
      <c r="A51" s="38"/>
      <c r="B51" s="24"/>
      <c r="C51" s="24"/>
      <c r="D51" s="39"/>
      <c r="E51" s="27"/>
      <c r="F51" s="25"/>
      <c r="G51" s="25"/>
    </row>
    <row r="52">
      <c r="A52" s="35"/>
      <c r="B52" s="14"/>
      <c r="C52" s="14"/>
      <c r="D52" s="37"/>
      <c r="E52" s="16"/>
      <c r="F52" s="25"/>
      <c r="G52" s="25"/>
    </row>
    <row r="53">
      <c r="A53" s="38"/>
      <c r="B53" s="24"/>
      <c r="C53" s="24"/>
      <c r="D53" s="39"/>
      <c r="E53" s="27"/>
      <c r="F53" s="25"/>
      <c r="G53" s="25"/>
    </row>
    <row r="54">
      <c r="A54" s="35"/>
      <c r="B54" s="14"/>
      <c r="C54" s="14"/>
      <c r="D54" s="37"/>
      <c r="E54" s="16"/>
      <c r="F54" s="25"/>
      <c r="G54" s="25"/>
    </row>
    <row r="55">
      <c r="A55" s="38"/>
      <c r="B55" s="24"/>
      <c r="C55" s="24"/>
      <c r="D55" s="39"/>
      <c r="E55" s="27"/>
      <c r="F55" s="25"/>
      <c r="G55" s="25"/>
    </row>
    <row r="56">
      <c r="A56" s="35"/>
      <c r="B56" s="14"/>
      <c r="C56" s="14"/>
      <c r="D56" s="37"/>
      <c r="E56" s="16"/>
      <c r="F56" s="25"/>
      <c r="G56" s="25"/>
    </row>
    <row r="57">
      <c r="A57" s="38"/>
      <c r="B57" s="24"/>
      <c r="C57" s="24"/>
      <c r="D57" s="39"/>
      <c r="E57" s="27"/>
      <c r="F57" s="25"/>
      <c r="G57" s="25"/>
    </row>
    <row r="58">
      <c r="A58" s="35"/>
      <c r="B58" s="14"/>
      <c r="C58" s="14"/>
      <c r="D58" s="37"/>
      <c r="E58" s="16"/>
      <c r="F58" s="25"/>
      <c r="G58" s="25"/>
    </row>
    <row r="59">
      <c r="A59" s="38"/>
      <c r="B59" s="24"/>
      <c r="C59" s="24"/>
      <c r="D59" s="39"/>
      <c r="E59" s="27"/>
      <c r="F59" s="25"/>
      <c r="G59" s="25"/>
    </row>
    <row r="60">
      <c r="A60" s="35"/>
      <c r="B60" s="14"/>
      <c r="C60" s="14"/>
      <c r="D60" s="37"/>
      <c r="E60" s="16"/>
      <c r="F60" s="25"/>
      <c r="G60" s="25"/>
    </row>
    <row r="61">
      <c r="A61" s="38"/>
      <c r="B61" s="24"/>
      <c r="C61" s="24"/>
      <c r="D61" s="39"/>
      <c r="E61" s="27"/>
      <c r="F61" s="25"/>
      <c r="G61" s="25"/>
    </row>
    <row r="62">
      <c r="A62" s="35"/>
      <c r="B62" s="14"/>
      <c r="C62" s="14"/>
      <c r="D62" s="37"/>
      <c r="E62" s="16"/>
      <c r="F62" s="25"/>
      <c r="G62" s="25"/>
    </row>
    <row r="63">
      <c r="A63" s="38"/>
      <c r="B63" s="24"/>
      <c r="C63" s="24"/>
      <c r="D63" s="39"/>
      <c r="E63" s="27"/>
      <c r="F63" s="25"/>
      <c r="G63" s="25"/>
    </row>
    <row r="64">
      <c r="A64" s="35"/>
      <c r="B64" s="14"/>
      <c r="C64" s="14"/>
      <c r="D64" s="37"/>
      <c r="E64" s="16"/>
      <c r="F64" s="25"/>
      <c r="G64" s="25"/>
    </row>
    <row r="65">
      <c r="A65" s="38"/>
      <c r="B65" s="24"/>
      <c r="C65" s="24"/>
      <c r="D65" s="39"/>
      <c r="E65" s="27"/>
      <c r="F65" s="25"/>
      <c r="G65" s="25"/>
    </row>
    <row r="66">
      <c r="A66" s="35"/>
      <c r="B66" s="14"/>
      <c r="C66" s="14"/>
      <c r="D66" s="37"/>
      <c r="E66" s="16"/>
      <c r="F66" s="25"/>
      <c r="G66" s="25"/>
    </row>
    <row r="67">
      <c r="A67" s="38"/>
      <c r="B67" s="24"/>
      <c r="C67" s="24"/>
      <c r="D67" s="39"/>
      <c r="E67" s="27"/>
      <c r="F67" s="25"/>
      <c r="G67" s="25"/>
    </row>
    <row r="68">
      <c r="A68" s="35"/>
      <c r="B68" s="14"/>
      <c r="C68" s="14"/>
      <c r="D68" s="37"/>
      <c r="E68" s="16"/>
      <c r="F68" s="25"/>
      <c r="G68" s="25"/>
    </row>
    <row r="69">
      <c r="A69" s="38"/>
      <c r="B69" s="24"/>
      <c r="C69" s="24"/>
      <c r="D69" s="39"/>
      <c r="E69" s="27"/>
      <c r="F69" s="25"/>
      <c r="G69" s="25"/>
    </row>
    <row r="70">
      <c r="A70" s="35"/>
      <c r="B70" s="14"/>
      <c r="C70" s="14"/>
      <c r="D70" s="37"/>
      <c r="E70" s="16"/>
      <c r="F70" s="25"/>
      <c r="G70" s="25"/>
    </row>
    <row r="71">
      <c r="A71" s="38"/>
      <c r="B71" s="24"/>
      <c r="C71" s="24"/>
      <c r="D71" s="39"/>
      <c r="E71" s="27"/>
      <c r="F71" s="25"/>
      <c r="G71" s="25"/>
    </row>
    <row r="72">
      <c r="A72" s="35"/>
      <c r="B72" s="14"/>
      <c r="C72" s="14"/>
      <c r="D72" s="37"/>
      <c r="E72" s="16"/>
      <c r="F72" s="25"/>
      <c r="G72" s="25"/>
    </row>
    <row r="73">
      <c r="A73" s="38"/>
      <c r="B73" s="24"/>
      <c r="C73" s="24"/>
      <c r="D73" s="39"/>
      <c r="E73" s="27"/>
      <c r="F73" s="25"/>
      <c r="G73" s="25"/>
    </row>
    <row r="74">
      <c r="A74" s="35"/>
      <c r="B74" s="14"/>
      <c r="C74" s="14"/>
      <c r="D74" s="37"/>
      <c r="E74" s="16"/>
      <c r="F74" s="25"/>
      <c r="G74" s="25"/>
    </row>
    <row r="75">
      <c r="A75" s="38"/>
      <c r="B75" s="24"/>
      <c r="C75" s="24"/>
      <c r="D75" s="39"/>
      <c r="E75" s="27"/>
      <c r="F75" s="25"/>
      <c r="G75" s="25"/>
    </row>
    <row r="76">
      <c r="A76" s="35"/>
      <c r="B76" s="14"/>
      <c r="C76" s="14"/>
      <c r="D76" s="37"/>
      <c r="E76" s="16"/>
      <c r="F76" s="25"/>
      <c r="G76" s="25"/>
    </row>
    <row r="77">
      <c r="A77" s="38"/>
      <c r="B77" s="24"/>
      <c r="C77" s="24"/>
      <c r="D77" s="39"/>
      <c r="E77" s="27"/>
      <c r="F77" s="25"/>
      <c r="G77" s="25"/>
    </row>
    <row r="78">
      <c r="A78" s="35"/>
      <c r="B78" s="14"/>
      <c r="C78" s="14"/>
      <c r="D78" s="37"/>
      <c r="E78" s="16"/>
      <c r="F78" s="25"/>
      <c r="G78" s="25"/>
    </row>
    <row r="79">
      <c r="A79" s="38"/>
      <c r="B79" s="24"/>
      <c r="C79" s="24"/>
      <c r="D79" s="39"/>
      <c r="E79" s="27"/>
      <c r="F79" s="25"/>
      <c r="G79" s="25"/>
    </row>
    <row r="80">
      <c r="A80" s="35"/>
      <c r="B80" s="14"/>
      <c r="C80" s="14"/>
      <c r="D80" s="37"/>
      <c r="E80" s="16"/>
      <c r="F80" s="25"/>
      <c r="G80" s="25"/>
    </row>
    <row r="81">
      <c r="A81" s="38"/>
      <c r="B81" s="24"/>
      <c r="C81" s="24"/>
      <c r="D81" s="39"/>
      <c r="E81" s="27"/>
      <c r="F81" s="25"/>
      <c r="G81" s="25"/>
    </row>
    <row r="82">
      <c r="A82" s="35"/>
      <c r="B82" s="14"/>
      <c r="C82" s="14"/>
      <c r="D82" s="37"/>
      <c r="E82" s="16"/>
      <c r="F82" s="25"/>
      <c r="G82" s="25"/>
    </row>
    <row r="83">
      <c r="A83" s="38"/>
      <c r="B83" s="24"/>
      <c r="C83" s="24"/>
      <c r="D83" s="39"/>
      <c r="E83" s="27"/>
      <c r="F83" s="25"/>
      <c r="G83" s="25"/>
    </row>
    <row r="84">
      <c r="A84" s="35"/>
      <c r="B84" s="14"/>
      <c r="C84" s="14"/>
      <c r="D84" s="37"/>
      <c r="E84" s="16"/>
      <c r="F84" s="25"/>
      <c r="G84" s="25"/>
    </row>
    <row r="85">
      <c r="A85" s="38"/>
      <c r="B85" s="24"/>
      <c r="C85" s="24"/>
      <c r="D85" s="39"/>
      <c r="E85" s="27"/>
      <c r="F85" s="25"/>
      <c r="G85" s="25"/>
    </row>
    <row r="86">
      <c r="A86" s="35"/>
      <c r="B86" s="14"/>
      <c r="C86" s="14"/>
      <c r="D86" s="37"/>
      <c r="E86" s="16"/>
      <c r="F86" s="25"/>
      <c r="G86" s="25"/>
    </row>
    <row r="87">
      <c r="A87" s="38"/>
      <c r="B87" s="24"/>
      <c r="C87" s="24"/>
      <c r="D87" s="39"/>
      <c r="E87" s="27"/>
      <c r="F87" s="25"/>
      <c r="G87" s="25"/>
    </row>
    <row r="88">
      <c r="A88" s="35"/>
      <c r="B88" s="14"/>
      <c r="C88" s="14"/>
      <c r="D88" s="37"/>
      <c r="E88" s="16"/>
      <c r="F88" s="25"/>
      <c r="G88" s="25"/>
    </row>
    <row r="89">
      <c r="A89" s="38"/>
      <c r="B89" s="24"/>
      <c r="C89" s="24"/>
      <c r="D89" s="39"/>
      <c r="E89" s="27"/>
      <c r="F89" s="25"/>
      <c r="G89" s="25"/>
    </row>
    <row r="90">
      <c r="A90" s="35"/>
      <c r="B90" s="14"/>
      <c r="C90" s="14"/>
      <c r="D90" s="37"/>
      <c r="E90" s="16"/>
      <c r="F90" s="25"/>
      <c r="G90" s="25"/>
    </row>
    <row r="91">
      <c r="A91" s="38"/>
      <c r="B91" s="24"/>
      <c r="C91" s="24"/>
      <c r="D91" s="39"/>
      <c r="E91" s="27"/>
      <c r="F91" s="25"/>
      <c r="G91" s="25"/>
    </row>
    <row r="92">
      <c r="A92" s="35"/>
      <c r="B92" s="14"/>
      <c r="C92" s="14"/>
      <c r="D92" s="37"/>
      <c r="E92" s="16"/>
      <c r="F92" s="25"/>
      <c r="G92" s="25"/>
    </row>
    <row r="93">
      <c r="A93" s="38"/>
      <c r="B93" s="24"/>
      <c r="C93" s="24"/>
      <c r="D93" s="39"/>
      <c r="E93" s="27"/>
      <c r="F93" s="25"/>
      <c r="G93" s="25"/>
    </row>
    <row r="94">
      <c r="A94" s="35"/>
      <c r="B94" s="14"/>
      <c r="C94" s="14"/>
      <c r="D94" s="37"/>
      <c r="E94" s="16"/>
      <c r="F94" s="25"/>
      <c r="G94" s="25"/>
    </row>
    <row r="95">
      <c r="A95" s="38"/>
      <c r="B95" s="24"/>
      <c r="C95" s="24"/>
      <c r="D95" s="39"/>
      <c r="E95" s="27"/>
      <c r="F95" s="25"/>
      <c r="G95" s="25"/>
    </row>
    <row r="96">
      <c r="A96" s="35"/>
      <c r="B96" s="14"/>
      <c r="C96" s="14"/>
      <c r="D96" s="37"/>
      <c r="E96" s="16"/>
      <c r="F96" s="25"/>
      <c r="G96" s="25"/>
    </row>
    <row r="97">
      <c r="A97" s="38"/>
      <c r="B97" s="24"/>
      <c r="C97" s="24"/>
      <c r="D97" s="39"/>
      <c r="E97" s="27"/>
      <c r="F97" s="25"/>
      <c r="G97" s="25"/>
    </row>
    <row r="98">
      <c r="A98" s="35"/>
      <c r="B98" s="14"/>
      <c r="C98" s="14"/>
      <c r="D98" s="37"/>
      <c r="E98" s="16"/>
      <c r="F98" s="25"/>
      <c r="G98" s="25"/>
    </row>
    <row r="99">
      <c r="A99" s="38"/>
      <c r="B99" s="24"/>
      <c r="C99" s="24"/>
      <c r="D99" s="39"/>
      <c r="E99" s="27"/>
      <c r="F99" s="25"/>
      <c r="G99" s="25"/>
    </row>
    <row r="100">
      <c r="A100" s="35"/>
      <c r="B100" s="14"/>
      <c r="C100" s="14"/>
      <c r="D100" s="37"/>
      <c r="E100" s="16"/>
      <c r="F100" s="25"/>
      <c r="G100" s="25"/>
    </row>
    <row r="101">
      <c r="A101" s="38"/>
      <c r="B101" s="24"/>
      <c r="C101" s="24"/>
      <c r="D101" s="51"/>
      <c r="E101" s="27"/>
      <c r="F101" s="53"/>
      <c r="G101" s="53"/>
    </row>
    <row r="102">
      <c r="A102" s="35"/>
      <c r="B102" s="14"/>
      <c r="C102" s="14"/>
      <c r="D102" s="54"/>
      <c r="E102" s="16"/>
      <c r="F102" s="53"/>
      <c r="G102" s="53"/>
    </row>
    <row r="103">
      <c r="A103" s="38"/>
      <c r="B103" s="24"/>
      <c r="C103" s="24"/>
      <c r="D103" s="51"/>
      <c r="E103" s="27"/>
      <c r="F103" s="53"/>
      <c r="G103" s="53"/>
    </row>
    <row r="104">
      <c r="A104" s="35"/>
      <c r="B104" s="14"/>
      <c r="C104" s="14"/>
      <c r="D104" s="54"/>
      <c r="E104" s="16"/>
      <c r="F104" s="53"/>
      <c r="G104" s="53"/>
    </row>
    <row r="105">
      <c r="A105" s="38"/>
      <c r="B105" s="24"/>
      <c r="C105" s="24"/>
      <c r="D105" s="51"/>
      <c r="E105" s="27"/>
      <c r="F105" s="53"/>
      <c r="G105" s="53"/>
    </row>
    <row r="106">
      <c r="A106" s="35"/>
      <c r="B106" s="14"/>
      <c r="C106" s="14"/>
      <c r="D106" s="54"/>
      <c r="E106" s="16"/>
      <c r="F106" s="53"/>
      <c r="G106" s="53"/>
    </row>
    <row r="107">
      <c r="A107" s="38"/>
      <c r="B107" s="24"/>
      <c r="C107" s="24"/>
      <c r="D107" s="51"/>
      <c r="E107" s="27"/>
      <c r="F107" s="53"/>
      <c r="G107" s="53"/>
    </row>
    <row r="108">
      <c r="A108" s="35"/>
      <c r="B108" s="14"/>
      <c r="C108" s="14"/>
      <c r="D108" s="54"/>
      <c r="E108" s="16"/>
      <c r="F108" s="53"/>
      <c r="G108" s="53"/>
    </row>
    <row r="109">
      <c r="A109" s="38"/>
      <c r="B109" s="24"/>
      <c r="C109" s="24"/>
      <c r="D109" s="51"/>
      <c r="E109" s="27"/>
      <c r="F109" s="53"/>
      <c r="G109" s="53"/>
    </row>
    <row r="110">
      <c r="A110" s="35"/>
      <c r="B110" s="14"/>
      <c r="C110" s="14"/>
      <c r="D110" s="54"/>
      <c r="E110" s="16"/>
      <c r="F110" s="53"/>
      <c r="G110" s="53"/>
    </row>
    <row r="111">
      <c r="A111" s="38"/>
      <c r="B111" s="24"/>
      <c r="C111" s="24"/>
      <c r="D111" s="51"/>
      <c r="E111" s="27"/>
      <c r="F111" s="53"/>
      <c r="G111" s="53"/>
    </row>
    <row r="112">
      <c r="A112" s="35"/>
      <c r="B112" s="14"/>
      <c r="C112" s="14"/>
      <c r="D112" s="54"/>
      <c r="E112" s="16"/>
      <c r="F112" s="53"/>
      <c r="G112" s="53"/>
    </row>
    <row r="113">
      <c r="A113" s="38"/>
      <c r="B113" s="24"/>
      <c r="C113" s="24"/>
      <c r="D113" s="51"/>
      <c r="E113" s="27"/>
      <c r="F113" s="53"/>
      <c r="G113" s="53"/>
    </row>
    <row r="114">
      <c r="A114" s="35"/>
      <c r="B114" s="14"/>
      <c r="C114" s="14"/>
      <c r="D114" s="54"/>
      <c r="E114" s="16"/>
      <c r="F114" s="53"/>
      <c r="G114" s="53"/>
    </row>
    <row r="115">
      <c r="A115" s="38"/>
      <c r="B115" s="24"/>
      <c r="C115" s="24"/>
      <c r="D115" s="51"/>
      <c r="E115" s="27"/>
      <c r="F115" s="53"/>
      <c r="G115" s="53"/>
    </row>
    <row r="116">
      <c r="A116" s="35"/>
      <c r="B116" s="14"/>
      <c r="C116" s="14"/>
      <c r="D116" s="54"/>
      <c r="E116" s="16"/>
      <c r="F116" s="53"/>
      <c r="G116" s="53"/>
    </row>
    <row r="117">
      <c r="A117" s="38"/>
      <c r="B117" s="24"/>
      <c r="C117" s="24"/>
      <c r="D117" s="51"/>
      <c r="E117" s="27"/>
      <c r="F117" s="53"/>
      <c r="G117" s="53"/>
    </row>
    <row r="118">
      <c r="A118" s="35"/>
      <c r="B118" s="14"/>
      <c r="C118" s="14"/>
      <c r="D118" s="54"/>
      <c r="E118" s="16"/>
      <c r="F118" s="53"/>
      <c r="G118" s="53"/>
    </row>
    <row r="119">
      <c r="A119" s="38"/>
      <c r="B119" s="24"/>
      <c r="C119" s="24"/>
      <c r="D119" s="51"/>
      <c r="E119" s="27"/>
      <c r="F119" s="53"/>
      <c r="G119" s="53"/>
    </row>
    <row r="120">
      <c r="A120" s="35"/>
      <c r="B120" s="14"/>
      <c r="C120" s="14"/>
      <c r="D120" s="54"/>
      <c r="E120" s="16"/>
      <c r="F120" s="53"/>
      <c r="G120" s="53"/>
    </row>
    <row r="121">
      <c r="A121" s="38"/>
      <c r="B121" s="24"/>
      <c r="C121" s="24"/>
      <c r="D121" s="51"/>
      <c r="E121" s="27"/>
      <c r="F121" s="53"/>
      <c r="G121" s="53"/>
    </row>
    <row r="122">
      <c r="A122" s="35"/>
      <c r="B122" s="14"/>
      <c r="C122" s="14"/>
      <c r="D122" s="54"/>
      <c r="E122" s="16"/>
      <c r="F122" s="53"/>
      <c r="G122" s="53"/>
    </row>
    <row r="123">
      <c r="A123" s="38"/>
      <c r="B123" s="24"/>
      <c r="C123" s="24"/>
      <c r="D123" s="51"/>
      <c r="E123" s="27"/>
      <c r="F123" s="53"/>
      <c r="G123" s="53"/>
    </row>
    <row r="124">
      <c r="A124" s="35"/>
      <c r="B124" s="14"/>
      <c r="C124" s="14"/>
      <c r="D124" s="54"/>
      <c r="E124" s="16"/>
      <c r="F124" s="53"/>
      <c r="G124" s="53"/>
    </row>
    <row r="125">
      <c r="A125" s="38"/>
      <c r="B125" s="24"/>
      <c r="C125" s="24"/>
      <c r="D125" s="51"/>
      <c r="E125" s="27"/>
      <c r="F125" s="53"/>
      <c r="G125" s="53"/>
    </row>
    <row r="126">
      <c r="A126" s="35"/>
      <c r="B126" s="14"/>
      <c r="C126" s="14"/>
      <c r="D126" s="54"/>
      <c r="E126" s="16"/>
      <c r="F126" s="53"/>
      <c r="G126" s="53"/>
    </row>
    <row r="127">
      <c r="A127" s="38"/>
      <c r="B127" s="24"/>
      <c r="C127" s="24"/>
      <c r="D127" s="51"/>
      <c r="E127" s="27"/>
      <c r="F127" s="53"/>
      <c r="G127" s="53"/>
    </row>
    <row r="128">
      <c r="A128" s="35"/>
      <c r="B128" s="14"/>
      <c r="C128" s="14"/>
      <c r="D128" s="54"/>
      <c r="E128" s="16"/>
      <c r="F128" s="53"/>
      <c r="G128" s="53"/>
    </row>
    <row r="129">
      <c r="A129" s="38"/>
      <c r="B129" s="24"/>
      <c r="C129" s="24"/>
      <c r="D129" s="51"/>
      <c r="E129" s="27"/>
      <c r="F129" s="53"/>
      <c r="G129" s="53"/>
    </row>
    <row r="130">
      <c r="A130" s="35"/>
      <c r="B130" s="14"/>
      <c r="C130" s="14"/>
      <c r="D130" s="54"/>
      <c r="E130" s="16"/>
      <c r="F130" s="53"/>
      <c r="G130" s="53"/>
    </row>
    <row r="131">
      <c r="A131" s="38"/>
      <c r="B131" s="24"/>
      <c r="C131" s="24"/>
      <c r="D131" s="51"/>
      <c r="E131" s="27"/>
      <c r="F131" s="53"/>
      <c r="G131" s="53"/>
    </row>
    <row r="132">
      <c r="A132" s="35"/>
      <c r="B132" s="14"/>
      <c r="C132" s="14"/>
      <c r="D132" s="54"/>
      <c r="E132" s="16"/>
      <c r="F132" s="53"/>
      <c r="G132" s="53"/>
    </row>
    <row r="133">
      <c r="A133" s="38"/>
      <c r="B133" s="24"/>
      <c r="C133" s="24"/>
      <c r="D133" s="51"/>
      <c r="E133" s="27"/>
      <c r="F133" s="53"/>
      <c r="G133" s="53"/>
    </row>
    <row r="134">
      <c r="A134" s="35"/>
      <c r="B134" s="14"/>
      <c r="C134" s="14"/>
      <c r="D134" s="54"/>
      <c r="E134" s="16"/>
      <c r="F134" s="53"/>
      <c r="G134" s="53"/>
    </row>
    <row r="135">
      <c r="A135" s="38"/>
      <c r="B135" s="24"/>
      <c r="C135" s="24"/>
      <c r="D135" s="51"/>
      <c r="E135" s="27"/>
      <c r="F135" s="53"/>
      <c r="G135" s="53"/>
    </row>
    <row r="136">
      <c r="A136" s="35"/>
      <c r="B136" s="14"/>
      <c r="C136" s="14"/>
      <c r="D136" s="54"/>
      <c r="E136" s="16"/>
      <c r="F136" s="53"/>
      <c r="G136" s="53"/>
    </row>
    <row r="137">
      <c r="A137" s="38"/>
      <c r="B137" s="24"/>
      <c r="C137" s="24"/>
      <c r="D137" s="51"/>
      <c r="E137" s="27"/>
      <c r="F137" s="53"/>
      <c r="G137" s="53"/>
    </row>
    <row r="138">
      <c r="A138" s="35"/>
      <c r="B138" s="14"/>
      <c r="C138" s="14"/>
      <c r="D138" s="54"/>
      <c r="E138" s="16"/>
      <c r="F138" s="53"/>
      <c r="G138" s="53"/>
    </row>
    <row r="139">
      <c r="A139" s="38"/>
      <c r="B139" s="24"/>
      <c r="C139" s="24"/>
      <c r="D139" s="51"/>
      <c r="E139" s="27"/>
      <c r="F139" s="53"/>
      <c r="G139" s="53"/>
    </row>
    <row r="140">
      <c r="A140" s="35"/>
      <c r="B140" s="14"/>
      <c r="C140" s="14"/>
      <c r="D140" s="54"/>
      <c r="E140" s="16"/>
      <c r="F140" s="53"/>
      <c r="G140" s="53"/>
    </row>
    <row r="141">
      <c r="A141" s="38"/>
      <c r="B141" s="24"/>
      <c r="C141" s="24"/>
      <c r="D141" s="51"/>
      <c r="E141" s="27"/>
      <c r="F141" s="53"/>
      <c r="G141" s="53"/>
    </row>
    <row r="142">
      <c r="A142" s="35"/>
      <c r="B142" s="14"/>
      <c r="C142" s="14"/>
      <c r="D142" s="54"/>
      <c r="E142" s="16"/>
      <c r="F142" s="53"/>
      <c r="G142" s="53"/>
    </row>
    <row r="143">
      <c r="A143" s="38"/>
      <c r="B143" s="24"/>
      <c r="C143" s="24"/>
      <c r="D143" s="51"/>
      <c r="E143" s="27"/>
      <c r="F143" s="53"/>
      <c r="G143" s="53"/>
    </row>
    <row r="144">
      <c r="A144" s="35"/>
      <c r="B144" s="14"/>
      <c r="C144" s="14"/>
      <c r="D144" s="54"/>
      <c r="E144" s="16"/>
      <c r="F144" s="53"/>
      <c r="G144" s="53"/>
    </row>
    <row r="145">
      <c r="A145" s="38"/>
      <c r="B145" s="24"/>
      <c r="C145" s="24"/>
      <c r="D145" s="51"/>
      <c r="E145" s="27"/>
      <c r="F145" s="53"/>
      <c r="G145" s="53"/>
    </row>
    <row r="146">
      <c r="A146" s="35"/>
      <c r="B146" s="14"/>
      <c r="C146" s="14"/>
      <c r="D146" s="54"/>
      <c r="E146" s="16"/>
      <c r="F146" s="53"/>
      <c r="G146" s="53"/>
    </row>
    <row r="147">
      <c r="A147" s="38"/>
      <c r="B147" s="24"/>
      <c r="C147" s="24"/>
      <c r="D147" s="51"/>
      <c r="E147" s="27"/>
      <c r="F147" s="53"/>
      <c r="G147" s="53"/>
    </row>
    <row r="148">
      <c r="A148" s="35"/>
      <c r="B148" s="14"/>
      <c r="C148" s="14"/>
      <c r="D148" s="54"/>
      <c r="E148" s="16"/>
      <c r="F148" s="53"/>
      <c r="G148" s="53"/>
    </row>
    <row r="149">
      <c r="A149" s="38"/>
      <c r="B149" s="24"/>
      <c r="C149" s="24"/>
      <c r="D149" s="51"/>
      <c r="E149" s="27"/>
      <c r="F149" s="53"/>
      <c r="G149" s="53"/>
    </row>
    <row r="150">
      <c r="A150" s="35"/>
      <c r="B150" s="14"/>
      <c r="C150" s="14"/>
      <c r="D150" s="54"/>
      <c r="E150" s="16"/>
      <c r="F150" s="53"/>
      <c r="G150" s="53"/>
    </row>
    <row r="151">
      <c r="A151" s="38"/>
      <c r="B151" s="24"/>
      <c r="C151" s="24"/>
      <c r="D151" s="51"/>
      <c r="E151" s="27"/>
      <c r="F151" s="53"/>
      <c r="G151" s="53"/>
    </row>
    <row r="152">
      <c r="A152" s="35"/>
      <c r="B152" s="14"/>
      <c r="C152" s="14"/>
      <c r="D152" s="54"/>
      <c r="E152" s="16"/>
      <c r="F152" s="53"/>
      <c r="G152" s="53"/>
    </row>
    <row r="153">
      <c r="A153" s="38"/>
      <c r="B153" s="24"/>
      <c r="C153" s="24"/>
      <c r="D153" s="51"/>
      <c r="E153" s="27"/>
      <c r="F153" s="53"/>
      <c r="G153" s="53"/>
    </row>
    <row r="154">
      <c r="A154" s="35"/>
      <c r="B154" s="14"/>
      <c r="C154" s="14"/>
      <c r="D154" s="54"/>
      <c r="E154" s="16"/>
      <c r="F154" s="53"/>
      <c r="G154" s="53"/>
    </row>
    <row r="155">
      <c r="A155" s="38"/>
      <c r="B155" s="24"/>
      <c r="C155" s="24"/>
      <c r="D155" s="51"/>
      <c r="E155" s="27"/>
      <c r="F155" s="53"/>
      <c r="G155" s="53"/>
    </row>
    <row r="156">
      <c r="A156" s="35"/>
      <c r="B156" s="14"/>
      <c r="C156" s="14"/>
      <c r="D156" s="54"/>
      <c r="E156" s="16"/>
      <c r="F156" s="53"/>
      <c r="G156" s="53"/>
    </row>
    <row r="157">
      <c r="A157" s="38"/>
      <c r="B157" s="24"/>
      <c r="C157" s="24"/>
      <c r="D157" s="51"/>
      <c r="E157" s="27"/>
      <c r="F157" s="53"/>
      <c r="G157" s="53"/>
    </row>
    <row r="158">
      <c r="A158" s="35"/>
      <c r="B158" s="14"/>
      <c r="C158" s="14"/>
      <c r="D158" s="54"/>
      <c r="E158" s="16"/>
      <c r="F158" s="53"/>
      <c r="G158" s="53"/>
    </row>
    <row r="159">
      <c r="A159" s="38"/>
      <c r="B159" s="24"/>
      <c r="C159" s="24"/>
      <c r="D159" s="51"/>
      <c r="E159" s="27"/>
      <c r="F159" s="53"/>
      <c r="G159" s="53"/>
    </row>
    <row r="160">
      <c r="A160" s="35"/>
      <c r="B160" s="14"/>
      <c r="C160" s="14"/>
      <c r="D160" s="54"/>
      <c r="E160" s="16"/>
      <c r="F160" s="53"/>
      <c r="G160" s="53"/>
    </row>
    <row r="161">
      <c r="A161" s="38"/>
      <c r="B161" s="24"/>
      <c r="C161" s="24"/>
      <c r="D161" s="51"/>
      <c r="E161" s="27"/>
      <c r="F161" s="53"/>
      <c r="G161" s="53"/>
    </row>
    <row r="162">
      <c r="A162" s="35"/>
      <c r="B162" s="14"/>
      <c r="C162" s="14"/>
      <c r="D162" s="54"/>
      <c r="E162" s="16"/>
      <c r="F162" s="53"/>
      <c r="G162" s="53"/>
    </row>
    <row r="163">
      <c r="A163" s="38"/>
      <c r="B163" s="24"/>
      <c r="C163" s="24"/>
      <c r="D163" s="51"/>
      <c r="E163" s="27"/>
      <c r="F163" s="53"/>
      <c r="G163" s="53"/>
    </row>
    <row r="164">
      <c r="A164" s="35"/>
      <c r="B164" s="14"/>
      <c r="C164" s="14"/>
      <c r="D164" s="54"/>
      <c r="E164" s="16"/>
      <c r="F164" s="53"/>
      <c r="G164" s="53"/>
    </row>
    <row r="165">
      <c r="A165" s="38"/>
      <c r="B165" s="24"/>
      <c r="C165" s="24"/>
      <c r="D165" s="51"/>
      <c r="E165" s="27"/>
      <c r="F165" s="53"/>
      <c r="G165" s="53"/>
    </row>
    <row r="166">
      <c r="A166" s="35"/>
      <c r="B166" s="14"/>
      <c r="C166" s="14"/>
      <c r="D166" s="54"/>
      <c r="E166" s="16"/>
      <c r="F166" s="53"/>
      <c r="G166" s="53"/>
    </row>
    <row r="167">
      <c r="A167" s="38"/>
      <c r="B167" s="24"/>
      <c r="C167" s="24"/>
      <c r="D167" s="51"/>
      <c r="E167" s="27"/>
      <c r="F167" s="53"/>
      <c r="G167" s="53"/>
    </row>
    <row r="168">
      <c r="A168" s="35"/>
      <c r="B168" s="14"/>
      <c r="C168" s="14"/>
      <c r="D168" s="54"/>
      <c r="E168" s="16"/>
      <c r="F168" s="53"/>
      <c r="G168" s="53"/>
    </row>
    <row r="169">
      <c r="A169" s="38"/>
      <c r="B169" s="24"/>
      <c r="C169" s="24"/>
      <c r="D169" s="51"/>
      <c r="E169" s="27"/>
      <c r="F169" s="53"/>
      <c r="G169" s="53"/>
    </row>
    <row r="170">
      <c r="A170" s="35"/>
      <c r="B170" s="14"/>
      <c r="C170" s="14"/>
      <c r="D170" s="54"/>
      <c r="E170" s="16"/>
      <c r="F170" s="53"/>
      <c r="G170" s="53"/>
    </row>
    <row r="171">
      <c r="A171" s="38"/>
      <c r="B171" s="24"/>
      <c r="C171" s="24"/>
      <c r="D171" s="51"/>
      <c r="E171" s="27"/>
      <c r="F171" s="53"/>
      <c r="G171" s="53"/>
    </row>
    <row r="172">
      <c r="A172" s="35"/>
      <c r="B172" s="14"/>
      <c r="C172" s="14"/>
      <c r="D172" s="54"/>
      <c r="E172" s="16"/>
      <c r="F172" s="53"/>
      <c r="G172" s="53"/>
    </row>
    <row r="173">
      <c r="A173" s="38"/>
      <c r="B173" s="24"/>
      <c r="C173" s="24"/>
      <c r="D173" s="51"/>
      <c r="E173" s="27"/>
      <c r="F173" s="53"/>
      <c r="G173" s="53"/>
    </row>
    <row r="174">
      <c r="A174" s="35"/>
      <c r="B174" s="14"/>
      <c r="C174" s="14"/>
      <c r="D174" s="54"/>
      <c r="E174" s="16"/>
      <c r="F174" s="53"/>
      <c r="G174" s="53"/>
    </row>
    <row r="175">
      <c r="A175" s="38"/>
      <c r="B175" s="24"/>
      <c r="C175" s="24"/>
      <c r="D175" s="51"/>
      <c r="E175" s="27"/>
      <c r="F175" s="53"/>
      <c r="G175" s="53"/>
    </row>
    <row r="176">
      <c r="A176" s="35"/>
      <c r="B176" s="14"/>
      <c r="C176" s="14"/>
      <c r="D176" s="54"/>
      <c r="E176" s="16"/>
      <c r="F176" s="53"/>
      <c r="G176" s="53"/>
    </row>
    <row r="177">
      <c r="A177" s="38"/>
      <c r="B177" s="24"/>
      <c r="C177" s="24"/>
      <c r="D177" s="51"/>
      <c r="E177" s="27"/>
      <c r="F177" s="53"/>
      <c r="G177" s="53"/>
    </row>
    <row r="178">
      <c r="A178" s="35"/>
      <c r="B178" s="14"/>
      <c r="C178" s="14"/>
      <c r="D178" s="54"/>
      <c r="E178" s="16"/>
      <c r="F178" s="53"/>
      <c r="G178" s="53"/>
    </row>
    <row r="179">
      <c r="A179" s="38"/>
      <c r="B179" s="24"/>
      <c r="C179" s="24"/>
      <c r="D179" s="51"/>
      <c r="E179" s="27"/>
      <c r="F179" s="53"/>
      <c r="G179" s="53"/>
    </row>
    <row r="180">
      <c r="A180" s="35"/>
      <c r="B180" s="14"/>
      <c r="C180" s="14"/>
      <c r="D180" s="54"/>
      <c r="E180" s="16"/>
      <c r="F180" s="53"/>
      <c r="G180" s="53"/>
    </row>
    <row r="181">
      <c r="A181" s="38"/>
      <c r="B181" s="24"/>
      <c r="C181" s="24"/>
      <c r="D181" s="51"/>
      <c r="E181" s="27"/>
      <c r="F181" s="53"/>
      <c r="G181" s="53"/>
    </row>
    <row r="182">
      <c r="A182" s="35"/>
      <c r="B182" s="14"/>
      <c r="C182" s="14"/>
      <c r="D182" s="54"/>
      <c r="E182" s="16"/>
      <c r="F182" s="53"/>
      <c r="G182" s="53"/>
    </row>
    <row r="183">
      <c r="A183" s="38"/>
      <c r="B183" s="24"/>
      <c r="C183" s="24"/>
      <c r="D183" s="51"/>
      <c r="E183" s="27"/>
      <c r="F183" s="53"/>
      <c r="G183" s="53"/>
    </row>
    <row r="184">
      <c r="A184" s="35"/>
      <c r="B184" s="14"/>
      <c r="C184" s="14"/>
      <c r="D184" s="54"/>
      <c r="E184" s="16"/>
      <c r="F184" s="53"/>
      <c r="G184" s="53"/>
    </row>
    <row r="185">
      <c r="A185" s="38"/>
      <c r="B185" s="24"/>
      <c r="C185" s="24"/>
      <c r="D185" s="51"/>
      <c r="E185" s="27"/>
      <c r="F185" s="53"/>
      <c r="G185" s="53"/>
    </row>
    <row r="186">
      <c r="A186" s="35"/>
      <c r="B186" s="14"/>
      <c r="C186" s="14"/>
      <c r="D186" s="54"/>
      <c r="E186" s="16"/>
      <c r="F186" s="53"/>
      <c r="G186" s="53"/>
    </row>
    <row r="187">
      <c r="A187" s="38"/>
      <c r="B187" s="24"/>
      <c r="C187" s="24"/>
      <c r="D187" s="51"/>
      <c r="E187" s="27"/>
      <c r="F187" s="53"/>
      <c r="G187" s="53"/>
    </row>
    <row r="188">
      <c r="A188" s="35"/>
      <c r="B188" s="14"/>
      <c r="C188" s="14"/>
      <c r="D188" s="54"/>
      <c r="E188" s="16"/>
      <c r="F188" s="53"/>
      <c r="G188" s="53"/>
    </row>
    <row r="189">
      <c r="A189" s="38"/>
      <c r="B189" s="24"/>
      <c r="C189" s="24"/>
      <c r="D189" s="51"/>
      <c r="E189" s="27"/>
      <c r="F189" s="53"/>
      <c r="G189" s="53"/>
    </row>
    <row r="190">
      <c r="A190" s="35"/>
      <c r="B190" s="14"/>
      <c r="C190" s="14"/>
      <c r="D190" s="54"/>
      <c r="E190" s="16"/>
      <c r="F190" s="53"/>
      <c r="G190" s="53"/>
    </row>
    <row r="191">
      <c r="A191" s="38"/>
      <c r="B191" s="24"/>
      <c r="C191" s="24"/>
      <c r="D191" s="51"/>
      <c r="E191" s="27"/>
      <c r="F191" s="53"/>
      <c r="G191" s="53"/>
    </row>
    <row r="192">
      <c r="A192" s="35"/>
      <c r="B192" s="14"/>
      <c r="C192" s="14"/>
      <c r="D192" s="54"/>
      <c r="E192" s="16"/>
      <c r="F192" s="53"/>
      <c r="G192" s="53"/>
    </row>
    <row r="193">
      <c r="A193" s="38"/>
      <c r="B193" s="24"/>
      <c r="C193" s="24"/>
      <c r="D193" s="51"/>
      <c r="E193" s="27"/>
      <c r="F193" s="53"/>
      <c r="G193" s="53"/>
    </row>
    <row r="194">
      <c r="A194" s="35"/>
      <c r="B194" s="14"/>
      <c r="C194" s="14"/>
      <c r="D194" s="54"/>
      <c r="E194" s="16"/>
      <c r="F194" s="53"/>
      <c r="G194" s="53"/>
    </row>
    <row r="195">
      <c r="A195" s="38"/>
      <c r="B195" s="24"/>
      <c r="C195" s="24"/>
      <c r="D195" s="51"/>
      <c r="E195" s="27"/>
      <c r="F195" s="53"/>
      <c r="G195" s="53"/>
    </row>
    <row r="196">
      <c r="A196" s="35"/>
      <c r="B196" s="14"/>
      <c r="C196" s="14"/>
      <c r="D196" s="54"/>
      <c r="E196" s="16"/>
      <c r="F196" s="53"/>
      <c r="G196" s="53"/>
    </row>
    <row r="197">
      <c r="A197" s="38"/>
      <c r="B197" s="24"/>
      <c r="C197" s="24"/>
      <c r="D197" s="51"/>
      <c r="E197" s="27"/>
      <c r="F197" s="53"/>
      <c r="G197" s="53"/>
    </row>
    <row r="198">
      <c r="A198" s="35"/>
      <c r="B198" s="14"/>
      <c r="C198" s="14"/>
      <c r="D198" s="54"/>
      <c r="E198" s="16"/>
      <c r="F198" s="53"/>
      <c r="G198" s="53"/>
    </row>
    <row r="199">
      <c r="A199" s="38"/>
      <c r="B199" s="24"/>
      <c r="C199" s="24"/>
      <c r="D199" s="51"/>
      <c r="E199" s="27"/>
      <c r="F199" s="53"/>
      <c r="G199" s="53"/>
    </row>
    <row r="200">
      <c r="A200" s="35"/>
      <c r="B200" s="14"/>
      <c r="C200" s="14"/>
      <c r="D200" s="54"/>
      <c r="E200" s="16"/>
      <c r="F200" s="53"/>
      <c r="G200" s="53"/>
    </row>
    <row r="201">
      <c r="A201" s="38"/>
      <c r="B201" s="24"/>
      <c r="C201" s="24"/>
      <c r="D201" s="51"/>
      <c r="E201" s="27"/>
      <c r="F201" s="53"/>
      <c r="G201" s="53"/>
    </row>
    <row r="202">
      <c r="A202" s="35"/>
      <c r="B202" s="14"/>
      <c r="C202" s="14"/>
      <c r="D202" s="54"/>
      <c r="E202" s="16"/>
      <c r="F202" s="53"/>
      <c r="G202" s="53"/>
    </row>
    <row r="203">
      <c r="A203" s="38"/>
      <c r="B203" s="24"/>
      <c r="C203" s="24"/>
      <c r="D203" s="51"/>
      <c r="E203" s="27"/>
      <c r="F203" s="53"/>
      <c r="G203" s="53"/>
    </row>
    <row r="204">
      <c r="A204" s="35"/>
      <c r="B204" s="14"/>
      <c r="C204" s="14"/>
      <c r="D204" s="54"/>
      <c r="E204" s="16"/>
      <c r="F204" s="53"/>
      <c r="G204" s="53"/>
    </row>
    <row r="205">
      <c r="A205" s="38"/>
      <c r="B205" s="24"/>
      <c r="C205" s="24"/>
      <c r="D205" s="51"/>
      <c r="E205" s="27"/>
      <c r="F205" s="53"/>
      <c r="G205" s="53"/>
    </row>
    <row r="206">
      <c r="A206" s="35"/>
      <c r="B206" s="14"/>
      <c r="C206" s="14"/>
      <c r="D206" s="54"/>
      <c r="E206" s="16"/>
      <c r="F206" s="53"/>
      <c r="G206" s="53"/>
    </row>
    <row r="207">
      <c r="A207" s="38"/>
      <c r="B207" s="24"/>
      <c r="C207" s="24"/>
      <c r="D207" s="51"/>
      <c r="E207" s="27"/>
      <c r="F207" s="53"/>
      <c r="G207" s="53"/>
    </row>
    <row r="208">
      <c r="A208" s="35"/>
      <c r="B208" s="14"/>
      <c r="C208" s="14"/>
      <c r="D208" s="54"/>
      <c r="E208" s="16"/>
      <c r="F208" s="53"/>
      <c r="G208" s="53"/>
    </row>
    <row r="209">
      <c r="A209" s="38"/>
      <c r="B209" s="24"/>
      <c r="C209" s="24"/>
      <c r="D209" s="51"/>
      <c r="E209" s="27"/>
      <c r="F209" s="53"/>
      <c r="G209" s="53"/>
    </row>
    <row r="210">
      <c r="A210" s="35"/>
      <c r="B210" s="14"/>
      <c r="C210" s="14"/>
      <c r="D210" s="54"/>
      <c r="E210" s="16"/>
      <c r="F210" s="53"/>
      <c r="G210" s="53"/>
    </row>
    <row r="211">
      <c r="A211" s="38"/>
      <c r="B211" s="24"/>
      <c r="C211" s="24"/>
      <c r="D211" s="51"/>
      <c r="E211" s="27"/>
      <c r="F211" s="53"/>
      <c r="G211" s="53"/>
    </row>
    <row r="212">
      <c r="A212" s="35"/>
      <c r="B212" s="14"/>
      <c r="C212" s="14"/>
      <c r="D212" s="54"/>
      <c r="E212" s="16"/>
      <c r="F212" s="53"/>
      <c r="G212" s="53"/>
    </row>
    <row r="213">
      <c r="A213" s="38"/>
      <c r="B213" s="24"/>
      <c r="C213" s="24"/>
      <c r="D213" s="51"/>
      <c r="E213" s="27"/>
      <c r="F213" s="53"/>
      <c r="G213" s="53"/>
    </row>
    <row r="214">
      <c r="A214" s="35"/>
      <c r="B214" s="14"/>
      <c r="C214" s="14"/>
      <c r="D214" s="54"/>
      <c r="E214" s="16"/>
      <c r="F214" s="53"/>
      <c r="G214" s="53"/>
    </row>
    <row r="215">
      <c r="A215" s="38"/>
      <c r="B215" s="24"/>
      <c r="C215" s="24"/>
      <c r="D215" s="51"/>
      <c r="E215" s="27"/>
      <c r="F215" s="53"/>
      <c r="G215" s="53"/>
    </row>
    <row r="216">
      <c r="A216" s="35"/>
      <c r="B216" s="14"/>
      <c r="C216" s="14"/>
      <c r="D216" s="54"/>
      <c r="E216" s="16"/>
      <c r="F216" s="53"/>
      <c r="G216" s="53"/>
    </row>
    <row r="217">
      <c r="A217" s="38"/>
      <c r="B217" s="24"/>
      <c r="C217" s="24"/>
      <c r="D217" s="51"/>
      <c r="E217" s="27"/>
      <c r="F217" s="53"/>
      <c r="G217" s="53"/>
    </row>
    <row r="218">
      <c r="A218" s="35"/>
      <c r="B218" s="14"/>
      <c r="C218" s="14"/>
      <c r="D218" s="54"/>
      <c r="E218" s="16"/>
      <c r="F218" s="53"/>
      <c r="G218" s="53"/>
    </row>
    <row r="219">
      <c r="A219" s="38"/>
      <c r="B219" s="24"/>
      <c r="C219" s="24"/>
      <c r="D219" s="51"/>
      <c r="E219" s="27"/>
      <c r="F219" s="53"/>
      <c r="G219" s="53"/>
    </row>
    <row r="220">
      <c r="A220" s="35"/>
      <c r="B220" s="14"/>
      <c r="C220" s="14"/>
      <c r="D220" s="54"/>
      <c r="E220" s="16"/>
      <c r="F220" s="53"/>
      <c r="G220" s="53"/>
    </row>
    <row r="221">
      <c r="A221" s="38"/>
      <c r="B221" s="24"/>
      <c r="C221" s="24"/>
      <c r="D221" s="51"/>
      <c r="E221" s="27"/>
      <c r="F221" s="53"/>
      <c r="G221" s="53"/>
    </row>
    <row r="222">
      <c r="A222" s="35"/>
      <c r="B222" s="14"/>
      <c r="C222" s="14"/>
      <c r="D222" s="54"/>
      <c r="E222" s="16"/>
      <c r="F222" s="53"/>
      <c r="G222" s="53"/>
    </row>
    <row r="223">
      <c r="A223" s="38"/>
      <c r="B223" s="24"/>
      <c r="C223" s="24"/>
      <c r="D223" s="51"/>
      <c r="E223" s="27"/>
      <c r="F223" s="53"/>
      <c r="G223" s="53"/>
    </row>
    <row r="224">
      <c r="A224" s="35"/>
      <c r="B224" s="14"/>
      <c r="C224" s="14"/>
      <c r="D224" s="54"/>
      <c r="E224" s="16"/>
      <c r="F224" s="53"/>
      <c r="G224" s="53"/>
    </row>
    <row r="225">
      <c r="A225" s="38"/>
      <c r="B225" s="24"/>
      <c r="C225" s="24"/>
      <c r="D225" s="51"/>
      <c r="E225" s="27"/>
      <c r="F225" s="53"/>
      <c r="G225" s="53"/>
    </row>
    <row r="226">
      <c r="A226" s="35"/>
      <c r="B226" s="14"/>
      <c r="C226" s="14"/>
      <c r="D226" s="54"/>
      <c r="E226" s="16"/>
      <c r="F226" s="53"/>
      <c r="G226" s="53"/>
    </row>
    <row r="227">
      <c r="A227" s="38"/>
      <c r="B227" s="24"/>
      <c r="C227" s="24"/>
      <c r="D227" s="51"/>
      <c r="E227" s="27"/>
      <c r="F227" s="53"/>
      <c r="G227" s="53"/>
    </row>
    <row r="228">
      <c r="A228" s="35"/>
      <c r="B228" s="14"/>
      <c r="C228" s="14"/>
      <c r="D228" s="54"/>
      <c r="E228" s="16"/>
      <c r="F228" s="53"/>
      <c r="G228" s="53"/>
    </row>
    <row r="229">
      <c r="A229" s="38"/>
      <c r="B229" s="24"/>
      <c r="C229" s="24"/>
      <c r="D229" s="51"/>
      <c r="E229" s="27"/>
      <c r="F229" s="53"/>
      <c r="G229" s="53"/>
    </row>
    <row r="230">
      <c r="A230" s="35"/>
      <c r="B230" s="14"/>
      <c r="C230" s="14"/>
      <c r="D230" s="54"/>
      <c r="E230" s="16"/>
      <c r="F230" s="53"/>
      <c r="G230" s="53"/>
    </row>
    <row r="231">
      <c r="A231" s="38"/>
      <c r="B231" s="24"/>
      <c r="C231" s="24"/>
      <c r="D231" s="51"/>
      <c r="E231" s="27"/>
      <c r="F231" s="53"/>
      <c r="G231" s="53"/>
    </row>
    <row r="232">
      <c r="A232" s="35"/>
      <c r="B232" s="14"/>
      <c r="C232" s="14"/>
      <c r="D232" s="54"/>
      <c r="E232" s="16"/>
      <c r="F232" s="53"/>
      <c r="G232" s="53"/>
    </row>
    <row r="233" ht="18.0" customHeight="1">
      <c r="A233" s="38"/>
      <c r="B233" s="24"/>
      <c r="C233" s="24"/>
      <c r="D233" s="51"/>
      <c r="E233" s="27"/>
      <c r="F233" s="53"/>
      <c r="G233" s="53"/>
    </row>
    <row r="234" ht="18.0" customHeight="1">
      <c r="A234" s="35"/>
      <c r="B234" s="14"/>
      <c r="C234" s="14"/>
      <c r="D234" s="54"/>
      <c r="E234" s="16"/>
      <c r="F234" s="53"/>
      <c r="G234" s="53"/>
    </row>
    <row r="235" ht="18.0" customHeight="1">
      <c r="A235" s="38"/>
      <c r="B235" s="24"/>
      <c r="C235" s="24"/>
      <c r="D235" s="51"/>
      <c r="E235" s="27"/>
      <c r="F235" s="53"/>
      <c r="G235" s="53"/>
    </row>
    <row r="236" ht="18.0" customHeight="1">
      <c r="A236" s="35"/>
      <c r="B236" s="14"/>
      <c r="C236" s="14"/>
      <c r="D236" s="54"/>
      <c r="E236" s="16"/>
      <c r="F236" s="53"/>
      <c r="G236" s="53"/>
    </row>
    <row r="237" ht="18.0" customHeight="1">
      <c r="A237" s="38"/>
      <c r="B237" s="24"/>
      <c r="C237" s="24"/>
      <c r="D237" s="51"/>
      <c r="E237" s="27"/>
      <c r="F237" s="53"/>
      <c r="G237" s="53"/>
    </row>
    <row r="238" ht="18.0" customHeight="1">
      <c r="A238" s="35"/>
      <c r="B238" s="14"/>
      <c r="C238" s="14"/>
      <c r="D238" s="54"/>
      <c r="E238" s="16"/>
      <c r="F238" s="53"/>
      <c r="G238" s="53"/>
    </row>
    <row r="239" ht="15.75" customHeight="1">
      <c r="E239" s="63"/>
    </row>
    <row r="240" ht="15.75" customHeight="1">
      <c r="E240" s="63"/>
    </row>
    <row r="241" ht="15.75" customHeight="1">
      <c r="E241" s="63"/>
    </row>
    <row r="242" ht="15.75" customHeight="1">
      <c r="E242" s="63"/>
    </row>
    <row r="243" ht="15.75" customHeight="1">
      <c r="E243" s="63"/>
    </row>
    <row r="244" ht="15.75" customHeight="1">
      <c r="E244" s="63"/>
    </row>
    <row r="245" ht="15.75" customHeight="1">
      <c r="E245" s="63"/>
    </row>
    <row r="246" ht="15.75" customHeight="1">
      <c r="E246" s="63"/>
    </row>
    <row r="247" ht="15.75" customHeight="1">
      <c r="E247" s="63"/>
    </row>
    <row r="248" ht="15.75" customHeight="1">
      <c r="E248" s="63"/>
    </row>
    <row r="249" ht="15.75" customHeight="1">
      <c r="E249" s="63"/>
    </row>
    <row r="250" ht="15.75" customHeight="1">
      <c r="E250" s="63"/>
    </row>
    <row r="251" ht="15.75" customHeight="1">
      <c r="E251" s="63"/>
    </row>
    <row r="252" ht="15.75" customHeight="1">
      <c r="E252" s="63"/>
    </row>
    <row r="253" ht="15.75" customHeight="1">
      <c r="E253" s="63"/>
    </row>
    <row r="254" ht="15.75" customHeight="1">
      <c r="E254" s="63"/>
    </row>
    <row r="255" ht="15.75" customHeight="1">
      <c r="E255" s="63"/>
    </row>
    <row r="256" ht="15.75" customHeight="1">
      <c r="E256" s="63"/>
    </row>
    <row r="257" ht="15.75" customHeight="1">
      <c r="E257" s="63"/>
    </row>
    <row r="258" ht="15.75" customHeight="1">
      <c r="E258" s="63"/>
    </row>
    <row r="259" ht="15.75" customHeight="1">
      <c r="E259" s="63"/>
    </row>
    <row r="260" ht="15.75" customHeight="1">
      <c r="E260" s="63"/>
    </row>
    <row r="261" ht="15.75" customHeight="1">
      <c r="E261" s="63"/>
    </row>
    <row r="262" ht="15.75" customHeight="1">
      <c r="E262" s="63"/>
    </row>
    <row r="263" ht="15.75" customHeight="1">
      <c r="E263" s="63"/>
    </row>
    <row r="264" ht="15.75" customHeight="1">
      <c r="E264" s="63"/>
    </row>
    <row r="265" ht="15.75" customHeight="1">
      <c r="E265" s="63"/>
    </row>
    <row r="266" ht="15.75" customHeight="1">
      <c r="E266" s="63"/>
    </row>
    <row r="267" ht="15.75" customHeight="1">
      <c r="E267" s="63"/>
    </row>
    <row r="268" ht="15.75" customHeight="1">
      <c r="E268" s="63"/>
    </row>
    <row r="269" ht="15.75" customHeight="1">
      <c r="E269" s="63"/>
    </row>
    <row r="270" ht="15.75" customHeight="1">
      <c r="E270" s="63"/>
    </row>
    <row r="271" ht="15.75" customHeight="1">
      <c r="E271" s="63"/>
    </row>
    <row r="272" ht="15.75" customHeight="1">
      <c r="E272" s="63"/>
    </row>
    <row r="273" ht="15.75" customHeight="1">
      <c r="E273" s="63"/>
    </row>
    <row r="274" ht="15.75" customHeight="1">
      <c r="E274" s="63"/>
    </row>
    <row r="275" ht="15.75" customHeight="1">
      <c r="E275" s="63"/>
    </row>
    <row r="276" ht="15.75" customHeight="1">
      <c r="E276" s="63"/>
    </row>
    <row r="277" ht="15.75" customHeight="1">
      <c r="E277" s="63"/>
    </row>
    <row r="278" ht="15.75" customHeight="1">
      <c r="E278" s="63"/>
    </row>
    <row r="279" ht="15.75" customHeight="1">
      <c r="E279" s="63"/>
    </row>
    <row r="280" ht="15.75" customHeight="1">
      <c r="E280" s="63"/>
    </row>
    <row r="281" ht="15.75" customHeight="1">
      <c r="E281" s="63"/>
    </row>
    <row r="282" ht="15.75" customHeight="1">
      <c r="E282" s="63"/>
    </row>
    <row r="283" ht="15.75" customHeight="1">
      <c r="E283" s="63"/>
    </row>
    <row r="284" ht="15.75" customHeight="1">
      <c r="E284" s="63"/>
    </row>
    <row r="285" ht="15.75" customHeight="1">
      <c r="E285" s="63"/>
    </row>
    <row r="286" ht="15.75" customHeight="1">
      <c r="E286" s="63"/>
    </row>
    <row r="287" ht="15.75" customHeight="1">
      <c r="E287" s="63"/>
    </row>
    <row r="288" ht="15.75" customHeight="1">
      <c r="E288" s="63"/>
    </row>
    <row r="289" ht="15.75" customHeight="1">
      <c r="E289" s="63"/>
    </row>
    <row r="290" ht="15.75" customHeight="1">
      <c r="E290" s="63"/>
    </row>
    <row r="291" ht="15.75" customHeight="1">
      <c r="E291" s="63"/>
    </row>
    <row r="292" ht="15.75" customHeight="1">
      <c r="E292" s="63"/>
    </row>
    <row r="293" ht="15.75" customHeight="1">
      <c r="E293" s="63"/>
    </row>
    <row r="294" ht="15.75" customHeight="1">
      <c r="E294" s="63"/>
    </row>
    <row r="295" ht="15.75" customHeight="1">
      <c r="E295" s="63"/>
    </row>
    <row r="296" ht="15.75" customHeight="1">
      <c r="E296" s="63"/>
    </row>
    <row r="297" ht="15.75" customHeight="1">
      <c r="E297" s="63"/>
    </row>
    <row r="298" ht="15.75" customHeight="1">
      <c r="E298" s="63"/>
    </row>
    <row r="299" ht="15.75" customHeight="1">
      <c r="E299" s="63"/>
    </row>
    <row r="300" ht="15.75" customHeight="1">
      <c r="E300" s="63"/>
    </row>
    <row r="301" ht="15.75" customHeight="1">
      <c r="E301" s="63"/>
    </row>
    <row r="302" ht="15.75" customHeight="1">
      <c r="E302" s="63"/>
    </row>
    <row r="303" ht="15.75" customHeight="1">
      <c r="E303" s="63"/>
    </row>
    <row r="304" ht="15.75" customHeight="1">
      <c r="E304" s="63"/>
    </row>
    <row r="305" ht="15.75" customHeight="1">
      <c r="E305" s="63"/>
    </row>
    <row r="306" ht="15.75" customHeight="1">
      <c r="E306" s="63"/>
    </row>
    <row r="307" ht="15.75" customHeight="1">
      <c r="E307" s="63"/>
    </row>
    <row r="308" ht="15.75" customHeight="1">
      <c r="E308" s="63"/>
    </row>
    <row r="309" ht="15.75" customHeight="1">
      <c r="E309" s="63"/>
    </row>
    <row r="310" ht="15.75" customHeight="1">
      <c r="E310" s="63"/>
    </row>
    <row r="311" ht="15.75" customHeight="1">
      <c r="E311" s="63"/>
    </row>
    <row r="312" ht="15.75" customHeight="1">
      <c r="E312" s="63"/>
    </row>
    <row r="313" ht="15.75" customHeight="1">
      <c r="E313" s="63"/>
    </row>
    <row r="314" ht="15.75" customHeight="1">
      <c r="E314" s="63"/>
    </row>
    <row r="315" ht="15.75" customHeight="1">
      <c r="E315" s="63"/>
    </row>
    <row r="316" ht="15.75" customHeight="1">
      <c r="E316" s="63"/>
    </row>
    <row r="317" ht="15.75" customHeight="1">
      <c r="E317" s="63"/>
    </row>
    <row r="318" ht="15.75" customHeight="1">
      <c r="E318" s="63"/>
    </row>
    <row r="319" ht="15.75" customHeight="1">
      <c r="E319" s="63"/>
    </row>
    <row r="320" ht="15.75" customHeight="1">
      <c r="E320" s="63"/>
    </row>
    <row r="321" ht="15.75" customHeight="1">
      <c r="E321" s="63"/>
    </row>
    <row r="322" ht="15.75" customHeight="1">
      <c r="E322" s="63"/>
    </row>
    <row r="323" ht="15.75" customHeight="1">
      <c r="E323" s="63"/>
    </row>
    <row r="324" ht="15.75" customHeight="1">
      <c r="E324" s="63"/>
    </row>
    <row r="325" ht="15.75" customHeight="1">
      <c r="E325" s="63"/>
    </row>
    <row r="326" ht="15.75" customHeight="1">
      <c r="E326" s="63"/>
    </row>
    <row r="327" ht="15.75" customHeight="1">
      <c r="E327" s="63"/>
    </row>
    <row r="328" ht="15.75" customHeight="1">
      <c r="E328" s="63"/>
    </row>
    <row r="329" ht="15.75" customHeight="1">
      <c r="E329" s="63"/>
    </row>
    <row r="330" ht="15.75" customHeight="1">
      <c r="E330" s="63"/>
    </row>
    <row r="331" ht="15.75" customHeight="1">
      <c r="E331" s="63"/>
    </row>
    <row r="332" ht="15.75" customHeight="1">
      <c r="E332" s="63"/>
    </row>
    <row r="333" ht="15.75" customHeight="1">
      <c r="E333" s="63"/>
    </row>
    <row r="334" ht="15.75" customHeight="1">
      <c r="E334" s="63"/>
    </row>
    <row r="335" ht="15.75" customHeight="1">
      <c r="E335" s="63"/>
    </row>
    <row r="336" ht="15.75" customHeight="1">
      <c r="E336" s="63"/>
    </row>
    <row r="337" ht="15.75" customHeight="1">
      <c r="E337" s="63"/>
    </row>
    <row r="338" ht="15.75" customHeight="1">
      <c r="E338" s="63"/>
    </row>
    <row r="339" ht="15.75" customHeight="1">
      <c r="E339" s="63"/>
    </row>
    <row r="340" ht="15.75" customHeight="1">
      <c r="E340" s="63"/>
    </row>
    <row r="341" ht="15.75" customHeight="1">
      <c r="E341" s="63"/>
    </row>
    <row r="342" ht="15.75" customHeight="1">
      <c r="E342" s="63"/>
    </row>
    <row r="343" ht="15.75" customHeight="1">
      <c r="E343" s="63"/>
    </row>
    <row r="344" ht="15.75" customHeight="1">
      <c r="E344" s="63"/>
    </row>
    <row r="345" ht="15.75" customHeight="1">
      <c r="E345" s="63"/>
    </row>
    <row r="346" ht="15.75" customHeight="1">
      <c r="E346" s="63"/>
    </row>
    <row r="347" ht="15.75" customHeight="1">
      <c r="E347" s="63"/>
    </row>
    <row r="348" ht="15.75" customHeight="1">
      <c r="E348" s="63"/>
    </row>
    <row r="349" ht="15.75" customHeight="1">
      <c r="E349" s="63"/>
    </row>
    <row r="350" ht="15.75" customHeight="1">
      <c r="E350" s="63"/>
    </row>
    <row r="351" ht="15.75" customHeight="1">
      <c r="E351" s="63"/>
    </row>
    <row r="352" ht="15.75" customHeight="1">
      <c r="E352" s="63"/>
    </row>
    <row r="353" ht="15.75" customHeight="1">
      <c r="E353" s="63"/>
    </row>
    <row r="354" ht="15.75" customHeight="1">
      <c r="E354" s="63"/>
    </row>
    <row r="355" ht="15.75" customHeight="1">
      <c r="E355" s="63"/>
    </row>
    <row r="356" ht="15.75" customHeight="1">
      <c r="E356" s="63"/>
    </row>
    <row r="357" ht="15.75" customHeight="1">
      <c r="E357" s="63"/>
    </row>
    <row r="358" ht="15.75" customHeight="1">
      <c r="E358" s="63"/>
    </row>
    <row r="359" ht="15.75" customHeight="1">
      <c r="E359" s="63"/>
    </row>
    <row r="360" ht="15.75" customHeight="1">
      <c r="E360" s="63"/>
    </row>
    <row r="361" ht="15.75" customHeight="1">
      <c r="E361" s="63"/>
    </row>
    <row r="362" ht="15.75" customHeight="1">
      <c r="E362" s="63"/>
    </row>
    <row r="363" ht="15.75" customHeight="1">
      <c r="E363" s="63"/>
    </row>
    <row r="364" ht="15.75" customHeight="1">
      <c r="E364" s="63"/>
    </row>
    <row r="365" ht="15.75" customHeight="1">
      <c r="E365" s="63"/>
    </row>
    <row r="366" ht="15.75" customHeight="1">
      <c r="E366" s="63"/>
    </row>
    <row r="367" ht="15.75" customHeight="1">
      <c r="E367" s="63"/>
    </row>
    <row r="368" ht="15.75" customHeight="1">
      <c r="E368" s="63"/>
    </row>
    <row r="369" ht="15.75" customHeight="1">
      <c r="E369" s="63"/>
    </row>
    <row r="370" ht="15.75" customHeight="1">
      <c r="E370" s="63"/>
    </row>
    <row r="371" ht="15.75" customHeight="1">
      <c r="E371" s="63"/>
    </row>
    <row r="372" ht="15.75" customHeight="1">
      <c r="E372" s="63"/>
    </row>
    <row r="373" ht="15.75" customHeight="1">
      <c r="E373" s="63"/>
    </row>
    <row r="374" ht="15.75" customHeight="1">
      <c r="E374" s="63"/>
    </row>
    <row r="375" ht="15.75" customHeight="1">
      <c r="E375" s="63"/>
    </row>
    <row r="376" ht="15.75" customHeight="1">
      <c r="E376" s="63"/>
    </row>
    <row r="377" ht="15.75" customHeight="1">
      <c r="E377" s="63"/>
    </row>
    <row r="378" ht="15.75" customHeight="1">
      <c r="E378" s="63"/>
    </row>
    <row r="379" ht="15.75" customHeight="1">
      <c r="E379" s="63"/>
    </row>
    <row r="380" ht="15.75" customHeight="1">
      <c r="E380" s="63"/>
    </row>
    <row r="381" ht="15.75" customHeight="1">
      <c r="E381" s="63"/>
    </row>
    <row r="382" ht="15.75" customHeight="1">
      <c r="E382" s="63"/>
    </row>
    <row r="383" ht="15.75" customHeight="1">
      <c r="E383" s="63"/>
    </row>
    <row r="384" ht="15.75" customHeight="1">
      <c r="E384" s="63"/>
    </row>
    <row r="385" ht="15.75" customHeight="1">
      <c r="E385" s="63"/>
    </row>
    <row r="386" ht="15.75" customHeight="1">
      <c r="E386" s="63"/>
    </row>
    <row r="387" ht="15.75" customHeight="1">
      <c r="E387" s="63"/>
    </row>
    <row r="388" ht="15.75" customHeight="1">
      <c r="E388" s="63"/>
    </row>
    <row r="389" ht="15.75" customHeight="1">
      <c r="E389" s="63"/>
    </row>
    <row r="390" ht="15.75" customHeight="1">
      <c r="E390" s="63"/>
    </row>
    <row r="391" ht="15.75" customHeight="1">
      <c r="E391" s="63"/>
    </row>
    <row r="392" ht="15.75" customHeight="1">
      <c r="E392" s="63"/>
    </row>
    <row r="393" ht="15.75" customHeight="1">
      <c r="E393" s="63"/>
    </row>
    <row r="394" ht="15.75" customHeight="1">
      <c r="E394" s="63"/>
    </row>
    <row r="395" ht="15.75" customHeight="1">
      <c r="E395" s="63"/>
    </row>
    <row r="396" ht="15.75" customHeight="1">
      <c r="E396" s="63"/>
    </row>
    <row r="397" ht="15.75" customHeight="1">
      <c r="E397" s="63"/>
    </row>
    <row r="398" ht="15.75" customHeight="1">
      <c r="E398" s="63"/>
    </row>
    <row r="399" ht="15.75" customHeight="1">
      <c r="E399" s="63"/>
    </row>
    <row r="400" ht="15.75" customHeight="1">
      <c r="E400" s="63"/>
    </row>
    <row r="401" ht="15.75" customHeight="1">
      <c r="E401" s="63"/>
    </row>
    <row r="402" ht="15.75" customHeight="1">
      <c r="E402" s="63"/>
    </row>
    <row r="403" ht="15.75" customHeight="1">
      <c r="E403" s="63"/>
    </row>
    <row r="404" ht="15.75" customHeight="1">
      <c r="E404" s="63"/>
    </row>
    <row r="405" ht="15.75" customHeight="1">
      <c r="E405" s="63"/>
    </row>
    <row r="406" ht="15.75" customHeight="1">
      <c r="E406" s="63"/>
    </row>
    <row r="407" ht="15.75" customHeight="1">
      <c r="E407" s="63"/>
    </row>
    <row r="408" ht="15.75" customHeight="1">
      <c r="E408" s="63"/>
    </row>
    <row r="409" ht="15.75" customHeight="1">
      <c r="E409" s="63"/>
    </row>
    <row r="410" ht="15.75" customHeight="1">
      <c r="E410" s="63"/>
    </row>
    <row r="411" ht="15.75" customHeight="1">
      <c r="E411" s="63"/>
    </row>
    <row r="412" ht="15.75" customHeight="1">
      <c r="E412" s="63"/>
    </row>
    <row r="413" ht="15.75" customHeight="1">
      <c r="E413" s="63"/>
    </row>
    <row r="414" ht="15.75" customHeight="1">
      <c r="E414" s="63"/>
    </row>
    <row r="415" ht="15.75" customHeight="1">
      <c r="E415" s="63"/>
    </row>
    <row r="416" ht="15.75" customHeight="1">
      <c r="E416" s="63"/>
    </row>
    <row r="417" ht="15.75" customHeight="1">
      <c r="E417" s="63"/>
    </row>
    <row r="418" ht="15.75" customHeight="1">
      <c r="E418" s="63"/>
    </row>
    <row r="419" ht="15.75" customHeight="1">
      <c r="E419" s="63"/>
    </row>
    <row r="420" ht="15.75" customHeight="1">
      <c r="E420" s="63"/>
    </row>
    <row r="421" ht="15.75" customHeight="1">
      <c r="E421" s="63"/>
    </row>
    <row r="422" ht="15.75" customHeight="1">
      <c r="E422" s="63"/>
    </row>
    <row r="423" ht="15.75" customHeight="1">
      <c r="E423" s="63"/>
    </row>
    <row r="424" ht="15.75" customHeight="1">
      <c r="E424" s="63"/>
    </row>
    <row r="425" ht="15.75" customHeight="1">
      <c r="E425" s="63"/>
    </row>
    <row r="426" ht="15.75" customHeight="1">
      <c r="E426" s="63"/>
    </row>
    <row r="427" ht="15.75" customHeight="1">
      <c r="E427" s="63"/>
    </row>
    <row r="428" ht="15.75" customHeight="1">
      <c r="E428" s="63"/>
    </row>
    <row r="429" ht="15.75" customHeight="1">
      <c r="E429" s="63"/>
    </row>
    <row r="430" ht="15.75" customHeight="1">
      <c r="E430" s="63"/>
    </row>
    <row r="431" ht="15.75" customHeight="1">
      <c r="E431" s="63"/>
    </row>
    <row r="432" ht="15.75" customHeight="1">
      <c r="E432" s="63"/>
    </row>
    <row r="433" ht="15.75" customHeight="1">
      <c r="E433" s="63"/>
    </row>
    <row r="434" ht="15.75" customHeight="1">
      <c r="E434" s="63"/>
    </row>
    <row r="435" ht="15.75" customHeight="1">
      <c r="E435" s="63"/>
    </row>
    <row r="436" ht="15.75" customHeight="1">
      <c r="E436" s="63"/>
    </row>
    <row r="437" ht="15.75" customHeight="1">
      <c r="E437" s="63"/>
    </row>
    <row r="438" ht="15.75" customHeight="1">
      <c r="E438" s="63"/>
    </row>
    <row r="439" ht="15.75" customHeight="1">
      <c r="E439" s="63"/>
    </row>
    <row r="440" ht="15.75" customHeight="1">
      <c r="E440" s="63"/>
    </row>
    <row r="441" ht="15.75" customHeight="1">
      <c r="E441" s="63"/>
    </row>
    <row r="442" ht="15.75" customHeight="1">
      <c r="E442" s="63"/>
    </row>
    <row r="443" ht="15.75" customHeight="1">
      <c r="E443" s="63"/>
    </row>
    <row r="444" ht="15.75" customHeight="1">
      <c r="E444" s="63"/>
    </row>
    <row r="445" ht="15.75" customHeight="1">
      <c r="E445" s="63"/>
    </row>
    <row r="446" ht="15.75" customHeight="1">
      <c r="E446" s="63"/>
    </row>
    <row r="447" ht="15.75" customHeight="1">
      <c r="E447" s="63"/>
    </row>
    <row r="448" ht="15.75" customHeight="1">
      <c r="E448" s="63"/>
    </row>
    <row r="449" ht="15.75" customHeight="1">
      <c r="E449" s="63"/>
    </row>
    <row r="450" ht="15.75" customHeight="1">
      <c r="E450" s="63"/>
    </row>
    <row r="451" ht="15.75" customHeight="1">
      <c r="E451" s="63"/>
    </row>
    <row r="452" ht="15.75" customHeight="1">
      <c r="E452" s="63"/>
    </row>
    <row r="453" ht="15.75" customHeight="1">
      <c r="E453" s="63"/>
    </row>
    <row r="454" ht="15.75" customHeight="1">
      <c r="E454" s="63"/>
    </row>
    <row r="455" ht="15.75" customHeight="1">
      <c r="E455" s="63"/>
    </row>
    <row r="456" ht="15.75" customHeight="1">
      <c r="E456" s="63"/>
    </row>
    <row r="457" ht="15.75" customHeight="1">
      <c r="E457" s="63"/>
    </row>
    <row r="458" ht="15.75" customHeight="1">
      <c r="E458" s="63"/>
    </row>
    <row r="459" ht="15.75" customHeight="1">
      <c r="E459" s="63"/>
    </row>
    <row r="460" ht="15.75" customHeight="1">
      <c r="E460" s="63"/>
    </row>
    <row r="461" ht="15.75" customHeight="1">
      <c r="E461" s="63"/>
    </row>
    <row r="462" ht="15.75" customHeight="1">
      <c r="E462" s="63"/>
    </row>
    <row r="463" ht="15.75" customHeight="1">
      <c r="E463" s="63"/>
    </row>
    <row r="464" ht="15.75" customHeight="1">
      <c r="E464" s="63"/>
    </row>
    <row r="465" ht="15.75" customHeight="1">
      <c r="E465" s="63"/>
    </row>
    <row r="466" ht="15.75" customHeight="1">
      <c r="E466" s="63"/>
    </row>
    <row r="467" ht="15.75" customHeight="1">
      <c r="E467" s="63"/>
    </row>
    <row r="468" ht="15.75" customHeight="1">
      <c r="E468" s="63"/>
    </row>
    <row r="469" ht="15.75" customHeight="1">
      <c r="E469" s="63"/>
    </row>
    <row r="470" ht="15.75" customHeight="1">
      <c r="E470" s="63"/>
    </row>
    <row r="471" ht="15.75" customHeight="1">
      <c r="E471" s="63"/>
    </row>
    <row r="472" ht="15.75" customHeight="1">
      <c r="E472" s="63"/>
    </row>
    <row r="473" ht="15.75" customHeight="1">
      <c r="E473" s="63"/>
    </row>
    <row r="474" ht="15.75" customHeight="1">
      <c r="E474" s="63"/>
    </row>
    <row r="475" ht="15.75" customHeight="1">
      <c r="E475" s="63"/>
    </row>
    <row r="476" ht="15.75" customHeight="1">
      <c r="E476" s="63"/>
    </row>
    <row r="477" ht="15.75" customHeight="1">
      <c r="E477" s="63"/>
    </row>
    <row r="478" ht="15.75" customHeight="1">
      <c r="E478" s="63"/>
    </row>
    <row r="479" ht="15.75" customHeight="1">
      <c r="E479" s="63"/>
    </row>
    <row r="480" ht="15.75" customHeight="1">
      <c r="E480" s="63"/>
    </row>
    <row r="481" ht="15.75" customHeight="1">
      <c r="E481" s="63"/>
    </row>
    <row r="482" ht="15.75" customHeight="1">
      <c r="E482" s="63"/>
    </row>
    <row r="483" ht="15.75" customHeight="1">
      <c r="E483" s="63"/>
    </row>
    <row r="484" ht="15.75" customHeight="1">
      <c r="E484" s="63"/>
    </row>
    <row r="485" ht="15.75" customHeight="1">
      <c r="E485" s="63"/>
    </row>
    <row r="486" ht="15.75" customHeight="1">
      <c r="E486" s="63"/>
    </row>
    <row r="487" ht="15.75" customHeight="1">
      <c r="E487" s="63"/>
    </row>
    <row r="488" ht="15.75" customHeight="1">
      <c r="E488" s="63"/>
    </row>
    <row r="489" ht="15.75" customHeight="1">
      <c r="E489" s="63"/>
    </row>
    <row r="490" ht="15.75" customHeight="1">
      <c r="E490" s="63"/>
    </row>
    <row r="491" ht="15.75" customHeight="1">
      <c r="E491" s="63"/>
    </row>
    <row r="492" ht="15.75" customHeight="1">
      <c r="E492" s="63"/>
    </row>
    <row r="493" ht="15.75" customHeight="1">
      <c r="E493" s="63"/>
    </row>
    <row r="494" ht="15.75" customHeight="1">
      <c r="E494" s="63"/>
    </row>
    <row r="495" ht="15.75" customHeight="1">
      <c r="E495" s="63"/>
    </row>
    <row r="496" ht="15.75" customHeight="1">
      <c r="E496" s="63"/>
    </row>
    <row r="497" ht="15.75" customHeight="1">
      <c r="E497" s="63"/>
    </row>
    <row r="498" ht="15.75" customHeight="1">
      <c r="E498" s="63"/>
    </row>
    <row r="499" ht="15.75" customHeight="1">
      <c r="E499" s="63"/>
    </row>
    <row r="500" ht="15.75" customHeight="1">
      <c r="E500" s="63"/>
    </row>
    <row r="501" ht="15.75" customHeight="1">
      <c r="E501" s="63"/>
    </row>
    <row r="502" ht="15.75" customHeight="1">
      <c r="E502" s="63"/>
    </row>
    <row r="503" ht="15.75" customHeight="1">
      <c r="E503" s="63"/>
    </row>
    <row r="504" ht="15.75" customHeight="1">
      <c r="E504" s="63"/>
    </row>
    <row r="505" ht="15.75" customHeight="1">
      <c r="E505" s="63"/>
    </row>
    <row r="506" ht="15.75" customHeight="1">
      <c r="E506" s="63"/>
    </row>
    <row r="507" ht="15.75" customHeight="1">
      <c r="E507" s="63"/>
    </row>
    <row r="508" ht="15.75" customHeight="1">
      <c r="E508" s="63"/>
    </row>
    <row r="509" ht="15.75" customHeight="1">
      <c r="E509" s="63"/>
    </row>
    <row r="510" ht="15.75" customHeight="1">
      <c r="E510" s="63"/>
    </row>
    <row r="511" ht="15.75" customHeight="1">
      <c r="E511" s="63"/>
    </row>
    <row r="512" ht="15.75" customHeight="1">
      <c r="E512" s="63"/>
    </row>
    <row r="513" ht="15.75" customHeight="1">
      <c r="E513" s="63"/>
    </row>
    <row r="514" ht="15.75" customHeight="1">
      <c r="E514" s="63"/>
    </row>
    <row r="515" ht="15.75" customHeight="1">
      <c r="E515" s="63"/>
    </row>
    <row r="516" ht="15.75" customHeight="1">
      <c r="E516" s="63"/>
    </row>
    <row r="517" ht="15.75" customHeight="1">
      <c r="E517" s="63"/>
    </row>
    <row r="518" ht="15.75" customHeight="1">
      <c r="E518" s="63"/>
    </row>
    <row r="519" ht="15.75" customHeight="1">
      <c r="E519" s="63"/>
    </row>
    <row r="520" ht="15.75" customHeight="1">
      <c r="E520" s="63"/>
    </row>
    <row r="521" ht="15.75" customHeight="1">
      <c r="E521" s="63"/>
    </row>
    <row r="522" ht="15.75" customHeight="1">
      <c r="E522" s="63"/>
    </row>
    <row r="523" ht="15.75" customHeight="1">
      <c r="E523" s="63"/>
    </row>
    <row r="524" ht="15.75" customHeight="1">
      <c r="E524" s="63"/>
    </row>
    <row r="525" ht="15.75" customHeight="1">
      <c r="E525" s="63"/>
    </row>
    <row r="526" ht="15.75" customHeight="1">
      <c r="E526" s="63"/>
    </row>
    <row r="527" ht="15.75" customHeight="1">
      <c r="E527" s="63"/>
    </row>
    <row r="528" ht="15.75" customHeight="1">
      <c r="E528" s="63"/>
    </row>
    <row r="529" ht="15.75" customHeight="1">
      <c r="E529" s="63"/>
    </row>
    <row r="530" ht="15.75" customHeight="1">
      <c r="E530" s="63"/>
    </row>
    <row r="531" ht="15.75" customHeight="1">
      <c r="E531" s="63"/>
    </row>
    <row r="532" ht="15.75" customHeight="1">
      <c r="E532" s="63"/>
    </row>
    <row r="533" ht="15.75" customHeight="1">
      <c r="E533" s="63"/>
    </row>
    <row r="534" ht="15.75" customHeight="1">
      <c r="E534" s="63"/>
    </row>
    <row r="535" ht="15.75" customHeight="1">
      <c r="E535" s="63"/>
    </row>
    <row r="536" ht="15.75" customHeight="1">
      <c r="E536" s="63"/>
    </row>
    <row r="537" ht="15.75" customHeight="1">
      <c r="E537" s="63"/>
    </row>
    <row r="538" ht="15.75" customHeight="1">
      <c r="E538" s="63"/>
    </row>
    <row r="539" ht="15.75" customHeight="1">
      <c r="E539" s="63"/>
    </row>
    <row r="540" ht="15.75" customHeight="1">
      <c r="E540" s="63"/>
    </row>
    <row r="541" ht="15.75" customHeight="1">
      <c r="E541" s="63"/>
    </row>
    <row r="542" ht="15.75" customHeight="1">
      <c r="E542" s="63"/>
    </row>
    <row r="543" ht="15.75" customHeight="1">
      <c r="E543" s="63"/>
    </row>
    <row r="544" ht="15.75" customHeight="1">
      <c r="E544" s="63"/>
    </row>
    <row r="545" ht="15.75" customHeight="1">
      <c r="E545" s="63"/>
    </row>
    <row r="546" ht="15.75" customHeight="1">
      <c r="E546" s="63"/>
    </row>
    <row r="547" ht="15.75" customHeight="1">
      <c r="E547" s="63"/>
    </row>
    <row r="548" ht="15.75" customHeight="1">
      <c r="E548" s="63"/>
    </row>
    <row r="549" ht="15.75" customHeight="1">
      <c r="E549" s="63"/>
    </row>
    <row r="550" ht="15.75" customHeight="1">
      <c r="E550" s="63"/>
    </row>
    <row r="551" ht="15.75" customHeight="1">
      <c r="E551" s="63"/>
    </row>
    <row r="552" ht="15.75" customHeight="1">
      <c r="E552" s="63"/>
    </row>
    <row r="553" ht="15.75" customHeight="1">
      <c r="E553" s="63"/>
    </row>
    <row r="554" ht="15.75" customHeight="1">
      <c r="E554" s="63"/>
    </row>
    <row r="555" ht="15.75" customHeight="1">
      <c r="E555" s="63"/>
    </row>
    <row r="556" ht="15.75" customHeight="1">
      <c r="E556" s="63"/>
    </row>
    <row r="557" ht="15.75" customHeight="1">
      <c r="E557" s="63"/>
    </row>
    <row r="558" ht="15.75" customHeight="1">
      <c r="E558" s="63"/>
    </row>
    <row r="559" ht="15.75" customHeight="1">
      <c r="E559" s="63"/>
    </row>
    <row r="560" ht="15.75" customHeight="1">
      <c r="E560" s="63"/>
    </row>
    <row r="561" ht="15.75" customHeight="1">
      <c r="E561" s="63"/>
    </row>
    <row r="562" ht="15.75" customHeight="1">
      <c r="E562" s="63"/>
    </row>
    <row r="563" ht="15.75" customHeight="1">
      <c r="E563" s="63"/>
    </row>
    <row r="564" ht="15.75" customHeight="1">
      <c r="E564" s="63"/>
    </row>
    <row r="565" ht="15.75" customHeight="1">
      <c r="E565" s="63"/>
    </row>
    <row r="566" ht="15.75" customHeight="1">
      <c r="E566" s="63"/>
    </row>
    <row r="567" ht="15.75" customHeight="1">
      <c r="E567" s="63"/>
    </row>
    <row r="568" ht="15.75" customHeight="1">
      <c r="E568" s="63"/>
    </row>
    <row r="569" ht="15.75" customHeight="1">
      <c r="E569" s="63"/>
    </row>
    <row r="570" ht="15.75" customHeight="1">
      <c r="E570" s="63"/>
    </row>
    <row r="571" ht="15.75" customHeight="1">
      <c r="E571" s="63"/>
    </row>
    <row r="572" ht="15.75" customHeight="1">
      <c r="E572" s="63"/>
    </row>
    <row r="573" ht="15.75" customHeight="1">
      <c r="E573" s="63"/>
    </row>
    <row r="574" ht="15.75" customHeight="1">
      <c r="E574" s="63"/>
    </row>
    <row r="575" ht="15.75" customHeight="1">
      <c r="E575" s="63"/>
    </row>
    <row r="576" ht="15.75" customHeight="1">
      <c r="E576" s="63"/>
    </row>
    <row r="577" ht="15.75" customHeight="1">
      <c r="E577" s="63"/>
    </row>
    <row r="578" ht="15.75" customHeight="1">
      <c r="E578" s="63"/>
    </row>
    <row r="579" ht="15.75" customHeight="1">
      <c r="E579" s="63"/>
    </row>
    <row r="580" ht="15.75" customHeight="1">
      <c r="E580" s="63"/>
    </row>
    <row r="581" ht="15.75" customHeight="1">
      <c r="E581" s="63"/>
    </row>
    <row r="582" ht="15.75" customHeight="1">
      <c r="E582" s="63"/>
    </row>
    <row r="583" ht="15.75" customHeight="1">
      <c r="E583" s="63"/>
    </row>
    <row r="584" ht="15.75" customHeight="1">
      <c r="E584" s="63"/>
    </row>
    <row r="585" ht="15.75" customHeight="1">
      <c r="E585" s="63"/>
    </row>
    <row r="586" ht="15.75" customHeight="1">
      <c r="E586" s="63"/>
    </row>
    <row r="587" ht="15.75" customHeight="1">
      <c r="E587" s="63"/>
    </row>
    <row r="588" ht="15.75" customHeight="1">
      <c r="E588" s="63"/>
    </row>
    <row r="589" ht="15.75" customHeight="1">
      <c r="E589" s="63"/>
    </row>
    <row r="590" ht="15.75" customHeight="1">
      <c r="E590" s="63"/>
    </row>
    <row r="591" ht="15.75" customHeight="1">
      <c r="E591" s="63"/>
    </row>
    <row r="592" ht="15.75" customHeight="1">
      <c r="E592" s="63"/>
    </row>
    <row r="593" ht="15.75" customHeight="1">
      <c r="E593" s="63"/>
    </row>
    <row r="594" ht="15.75" customHeight="1">
      <c r="E594" s="63"/>
    </row>
    <row r="595" ht="15.75" customHeight="1">
      <c r="E595" s="63"/>
    </row>
    <row r="596" ht="15.75" customHeight="1">
      <c r="E596" s="63"/>
    </row>
    <row r="597" ht="15.75" customHeight="1">
      <c r="E597" s="63"/>
    </row>
    <row r="598" ht="15.75" customHeight="1">
      <c r="E598" s="63"/>
    </row>
    <row r="599" ht="15.75" customHeight="1">
      <c r="E599" s="63"/>
    </row>
    <row r="600" ht="15.75" customHeight="1">
      <c r="E600" s="63"/>
    </row>
    <row r="601" ht="15.75" customHeight="1">
      <c r="E601" s="63"/>
    </row>
    <row r="602" ht="15.75" customHeight="1">
      <c r="E602" s="63"/>
    </row>
    <row r="603" ht="15.75" customHeight="1">
      <c r="E603" s="63"/>
    </row>
    <row r="604" ht="15.75" customHeight="1">
      <c r="E604" s="63"/>
    </row>
    <row r="605" ht="15.75" customHeight="1">
      <c r="E605" s="63"/>
    </row>
    <row r="606" ht="15.75" customHeight="1">
      <c r="E606" s="63"/>
    </row>
    <row r="607" ht="15.75" customHeight="1">
      <c r="E607" s="63"/>
    </row>
    <row r="608" ht="15.75" customHeight="1">
      <c r="E608" s="63"/>
    </row>
    <row r="609" ht="15.75" customHeight="1">
      <c r="E609" s="63"/>
    </row>
    <row r="610" ht="15.75" customHeight="1">
      <c r="E610" s="63"/>
    </row>
    <row r="611" ht="15.75" customHeight="1">
      <c r="E611" s="63"/>
    </row>
    <row r="612" ht="15.75" customHeight="1">
      <c r="E612" s="63"/>
    </row>
    <row r="613" ht="15.75" customHeight="1">
      <c r="E613" s="63"/>
    </row>
    <row r="614" ht="15.75" customHeight="1">
      <c r="E614" s="63"/>
    </row>
    <row r="615" ht="15.75" customHeight="1">
      <c r="E615" s="63"/>
    </row>
    <row r="616" ht="15.75" customHeight="1">
      <c r="E616" s="63"/>
    </row>
    <row r="617" ht="15.75" customHeight="1">
      <c r="E617" s="63"/>
    </row>
    <row r="618" ht="15.75" customHeight="1">
      <c r="E618" s="63"/>
    </row>
    <row r="619" ht="15.75" customHeight="1">
      <c r="E619" s="63"/>
    </row>
    <row r="620" ht="15.75" customHeight="1">
      <c r="E620" s="63"/>
    </row>
    <row r="621" ht="15.75" customHeight="1">
      <c r="E621" s="63"/>
    </row>
    <row r="622" ht="15.75" customHeight="1">
      <c r="E622" s="63"/>
    </row>
    <row r="623" ht="15.75" customHeight="1">
      <c r="E623" s="63"/>
    </row>
    <row r="624" ht="15.75" customHeight="1">
      <c r="E624" s="63"/>
    </row>
    <row r="625" ht="15.75" customHeight="1">
      <c r="E625" s="63"/>
    </row>
    <row r="626" ht="15.75" customHeight="1">
      <c r="E626" s="63"/>
    </row>
    <row r="627" ht="15.75" customHeight="1">
      <c r="E627" s="63"/>
    </row>
    <row r="628" ht="15.75" customHeight="1">
      <c r="E628" s="63"/>
    </row>
    <row r="629" ht="15.75" customHeight="1">
      <c r="E629" s="63"/>
    </row>
    <row r="630" ht="15.75" customHeight="1">
      <c r="E630" s="63"/>
    </row>
    <row r="631" ht="15.75" customHeight="1">
      <c r="E631" s="63"/>
    </row>
    <row r="632" ht="15.75" customHeight="1">
      <c r="E632" s="63"/>
    </row>
    <row r="633" ht="15.75" customHeight="1">
      <c r="E633" s="63"/>
    </row>
    <row r="634" ht="15.75" customHeight="1">
      <c r="E634" s="63"/>
    </row>
    <row r="635" ht="15.75" customHeight="1">
      <c r="E635" s="63"/>
    </row>
    <row r="636" ht="15.75" customHeight="1">
      <c r="E636" s="63"/>
    </row>
    <row r="637" ht="15.75" customHeight="1">
      <c r="E637" s="63"/>
    </row>
    <row r="638" ht="15.75" customHeight="1">
      <c r="E638" s="63"/>
    </row>
    <row r="639" ht="15.75" customHeight="1">
      <c r="E639" s="63"/>
    </row>
    <row r="640" ht="15.75" customHeight="1">
      <c r="E640" s="63"/>
    </row>
    <row r="641" ht="15.75" customHeight="1">
      <c r="E641" s="63"/>
    </row>
    <row r="642" ht="15.75" customHeight="1">
      <c r="E642" s="63"/>
    </row>
    <row r="643" ht="15.75" customHeight="1">
      <c r="E643" s="63"/>
    </row>
    <row r="644" ht="15.75" customHeight="1">
      <c r="E644" s="63"/>
    </row>
    <row r="645" ht="15.75" customHeight="1">
      <c r="E645" s="63"/>
    </row>
    <row r="646" ht="15.75" customHeight="1">
      <c r="E646" s="63"/>
    </row>
    <row r="647" ht="15.75" customHeight="1">
      <c r="E647" s="63"/>
    </row>
    <row r="648" ht="15.75" customHeight="1">
      <c r="E648" s="63"/>
    </row>
    <row r="649" ht="15.75" customHeight="1">
      <c r="E649" s="63"/>
    </row>
    <row r="650" ht="15.75" customHeight="1">
      <c r="E650" s="63"/>
    </row>
    <row r="651" ht="15.75" customHeight="1">
      <c r="E651" s="63"/>
    </row>
    <row r="652" ht="15.75" customHeight="1">
      <c r="E652" s="63"/>
    </row>
    <row r="653" ht="15.75" customHeight="1">
      <c r="E653" s="63"/>
    </row>
    <row r="654" ht="15.75" customHeight="1">
      <c r="E654" s="63"/>
    </row>
    <row r="655" ht="15.75" customHeight="1">
      <c r="E655" s="63"/>
    </row>
    <row r="656" ht="15.75" customHeight="1">
      <c r="E656" s="63"/>
    </row>
    <row r="657" ht="15.75" customHeight="1">
      <c r="E657" s="63"/>
    </row>
    <row r="658" ht="15.75" customHeight="1">
      <c r="E658" s="63"/>
    </row>
    <row r="659" ht="15.75" customHeight="1">
      <c r="E659" s="63"/>
    </row>
    <row r="660" ht="15.75" customHeight="1">
      <c r="E660" s="63"/>
    </row>
    <row r="661" ht="15.75" customHeight="1">
      <c r="E661" s="63"/>
    </row>
    <row r="662" ht="15.75" customHeight="1">
      <c r="E662" s="63"/>
    </row>
    <row r="663" ht="15.75" customHeight="1">
      <c r="E663" s="63"/>
    </row>
    <row r="664" ht="15.75" customHeight="1">
      <c r="E664" s="63"/>
    </row>
    <row r="665" ht="15.75" customHeight="1">
      <c r="E665" s="63"/>
    </row>
    <row r="666" ht="15.75" customHeight="1">
      <c r="E666" s="63"/>
    </row>
    <row r="667" ht="15.75" customHeight="1">
      <c r="E667" s="63"/>
    </row>
    <row r="668" ht="15.75" customHeight="1">
      <c r="E668" s="63"/>
    </row>
    <row r="669" ht="15.75" customHeight="1">
      <c r="E669" s="63"/>
    </row>
    <row r="670" ht="15.75" customHeight="1">
      <c r="E670" s="63"/>
    </row>
    <row r="671" ht="15.75" customHeight="1">
      <c r="E671" s="63"/>
    </row>
    <row r="672" ht="15.75" customHeight="1">
      <c r="E672" s="63"/>
    </row>
    <row r="673" ht="15.75" customHeight="1">
      <c r="E673" s="63"/>
    </row>
    <row r="674" ht="15.75" customHeight="1">
      <c r="E674" s="63"/>
    </row>
    <row r="675" ht="15.75" customHeight="1">
      <c r="E675" s="63"/>
    </row>
    <row r="676" ht="15.75" customHeight="1">
      <c r="E676" s="63"/>
    </row>
    <row r="677" ht="15.75" customHeight="1">
      <c r="E677" s="63"/>
    </row>
    <row r="678" ht="15.75" customHeight="1">
      <c r="E678" s="63"/>
    </row>
    <row r="679" ht="15.75" customHeight="1">
      <c r="E679" s="63"/>
    </row>
    <row r="680" ht="15.75" customHeight="1">
      <c r="E680" s="63"/>
    </row>
    <row r="681" ht="15.75" customHeight="1">
      <c r="E681" s="63"/>
    </row>
    <row r="682" ht="15.75" customHeight="1">
      <c r="E682" s="63"/>
    </row>
    <row r="683" ht="15.75" customHeight="1">
      <c r="E683" s="63"/>
    </row>
    <row r="684" ht="15.75" customHeight="1">
      <c r="E684" s="63"/>
    </row>
    <row r="685" ht="15.75" customHeight="1">
      <c r="E685" s="63"/>
    </row>
    <row r="686" ht="15.75" customHeight="1">
      <c r="E686" s="63"/>
    </row>
    <row r="687" ht="15.75" customHeight="1">
      <c r="E687" s="63"/>
    </row>
    <row r="688" ht="15.75" customHeight="1">
      <c r="E688" s="63"/>
    </row>
    <row r="689" ht="15.75" customHeight="1">
      <c r="E689" s="63"/>
    </row>
    <row r="690" ht="15.75" customHeight="1">
      <c r="E690" s="63"/>
    </row>
    <row r="691" ht="15.75" customHeight="1">
      <c r="E691" s="63"/>
    </row>
    <row r="692" ht="15.75" customHeight="1">
      <c r="E692" s="63"/>
    </row>
    <row r="693" ht="15.75" customHeight="1">
      <c r="E693" s="63"/>
    </row>
    <row r="694" ht="15.75" customHeight="1">
      <c r="E694" s="63"/>
    </row>
    <row r="695" ht="15.75" customHeight="1">
      <c r="E695" s="63"/>
    </row>
    <row r="696" ht="15.75" customHeight="1">
      <c r="E696" s="63"/>
    </row>
    <row r="697" ht="15.75" customHeight="1">
      <c r="E697" s="63"/>
    </row>
    <row r="698" ht="15.75" customHeight="1">
      <c r="E698" s="63"/>
    </row>
    <row r="699" ht="15.75" customHeight="1">
      <c r="E699" s="63"/>
    </row>
    <row r="700" ht="15.75" customHeight="1">
      <c r="E700" s="63"/>
    </row>
    <row r="701" ht="15.75" customHeight="1">
      <c r="E701" s="63"/>
    </row>
    <row r="702" ht="15.75" customHeight="1">
      <c r="E702" s="63"/>
    </row>
    <row r="703" ht="15.75" customHeight="1">
      <c r="E703" s="63"/>
    </row>
    <row r="704" ht="15.75" customHeight="1">
      <c r="E704" s="63"/>
    </row>
    <row r="705" ht="15.75" customHeight="1">
      <c r="E705" s="63"/>
    </row>
    <row r="706" ht="15.75" customHeight="1">
      <c r="E706" s="63"/>
    </row>
    <row r="707" ht="15.75" customHeight="1">
      <c r="E707" s="63"/>
    </row>
    <row r="708" ht="15.75" customHeight="1">
      <c r="E708" s="63"/>
    </row>
    <row r="709" ht="15.75" customHeight="1">
      <c r="E709" s="63"/>
    </row>
    <row r="710" ht="15.75" customHeight="1">
      <c r="E710" s="63"/>
    </row>
    <row r="711" ht="15.75" customHeight="1">
      <c r="E711" s="63"/>
    </row>
    <row r="712" ht="15.75" customHeight="1">
      <c r="E712" s="63"/>
    </row>
    <row r="713" ht="15.75" customHeight="1">
      <c r="E713" s="63"/>
    </row>
    <row r="714" ht="15.75" customHeight="1">
      <c r="E714" s="63"/>
    </row>
    <row r="715" ht="15.75" customHeight="1">
      <c r="E715" s="63"/>
    </row>
    <row r="716" ht="15.75" customHeight="1">
      <c r="E716" s="63"/>
    </row>
    <row r="717" ht="15.75" customHeight="1">
      <c r="E717" s="63"/>
    </row>
    <row r="718" ht="15.75" customHeight="1">
      <c r="E718" s="63"/>
    </row>
    <row r="719" ht="15.75" customHeight="1">
      <c r="E719" s="63"/>
    </row>
    <row r="720" ht="15.75" customHeight="1">
      <c r="E720" s="63"/>
    </row>
    <row r="721" ht="15.75" customHeight="1">
      <c r="E721" s="63"/>
    </row>
    <row r="722" ht="15.75" customHeight="1">
      <c r="E722" s="63"/>
    </row>
    <row r="723" ht="15.75" customHeight="1">
      <c r="E723" s="63"/>
    </row>
    <row r="724" ht="15.75" customHeight="1">
      <c r="E724" s="63"/>
    </row>
    <row r="725" ht="15.75" customHeight="1">
      <c r="E725" s="63"/>
    </row>
    <row r="726" ht="15.75" customHeight="1">
      <c r="E726" s="63"/>
    </row>
    <row r="727" ht="15.75" customHeight="1">
      <c r="E727" s="63"/>
    </row>
    <row r="728" ht="15.75" customHeight="1">
      <c r="E728" s="63"/>
    </row>
    <row r="729" ht="15.75" customHeight="1">
      <c r="E729" s="63"/>
    </row>
    <row r="730" ht="15.75" customHeight="1">
      <c r="E730" s="63"/>
    </row>
    <row r="731" ht="15.75" customHeight="1">
      <c r="E731" s="63"/>
    </row>
    <row r="732" ht="15.75" customHeight="1">
      <c r="E732" s="63"/>
    </row>
    <row r="733" ht="15.75" customHeight="1">
      <c r="E733" s="63"/>
    </row>
    <row r="734" ht="15.75" customHeight="1">
      <c r="E734" s="63"/>
    </row>
    <row r="735" ht="15.75" customHeight="1">
      <c r="E735" s="63"/>
    </row>
    <row r="736" ht="15.75" customHeight="1">
      <c r="E736" s="63"/>
    </row>
    <row r="737" ht="15.75" customHeight="1">
      <c r="E737" s="63"/>
    </row>
    <row r="738" ht="15.75" customHeight="1">
      <c r="E738" s="63"/>
    </row>
    <row r="739" ht="15.75" customHeight="1">
      <c r="E739" s="63"/>
    </row>
    <row r="740" ht="15.75" customHeight="1">
      <c r="E740" s="63"/>
    </row>
    <row r="741" ht="15.75" customHeight="1">
      <c r="E741" s="63"/>
    </row>
    <row r="742" ht="15.75" customHeight="1">
      <c r="E742" s="63"/>
    </row>
    <row r="743" ht="15.75" customHeight="1">
      <c r="E743" s="63"/>
    </row>
    <row r="744" ht="15.75" customHeight="1">
      <c r="E744" s="63"/>
    </row>
    <row r="745" ht="15.75" customHeight="1">
      <c r="E745" s="63"/>
    </row>
    <row r="746" ht="15.75" customHeight="1">
      <c r="E746" s="63"/>
    </row>
    <row r="747" ht="15.75" customHeight="1">
      <c r="E747" s="63"/>
    </row>
    <row r="748" ht="15.75" customHeight="1">
      <c r="E748" s="63"/>
    </row>
    <row r="749" ht="15.75" customHeight="1">
      <c r="E749" s="63"/>
    </row>
    <row r="750" ht="15.75" customHeight="1">
      <c r="E750" s="63"/>
    </row>
    <row r="751" ht="15.75" customHeight="1">
      <c r="E751" s="63"/>
    </row>
    <row r="752" ht="15.75" customHeight="1">
      <c r="E752" s="63"/>
    </row>
    <row r="753" ht="15.75" customHeight="1">
      <c r="E753" s="63"/>
    </row>
    <row r="754" ht="15.75" customHeight="1">
      <c r="E754" s="63"/>
    </row>
    <row r="755" ht="15.75" customHeight="1">
      <c r="E755" s="63"/>
    </row>
    <row r="756" ht="15.75" customHeight="1">
      <c r="E756" s="63"/>
    </row>
    <row r="757" ht="15.75" customHeight="1">
      <c r="E757" s="63"/>
    </row>
    <row r="758" ht="15.75" customHeight="1">
      <c r="E758" s="63"/>
    </row>
    <row r="759" ht="15.75" customHeight="1">
      <c r="E759" s="63"/>
    </row>
    <row r="760" ht="15.75" customHeight="1">
      <c r="E760" s="63"/>
    </row>
    <row r="761" ht="15.75" customHeight="1">
      <c r="E761" s="63"/>
    </row>
    <row r="762" ht="15.75" customHeight="1">
      <c r="E762" s="63"/>
    </row>
    <row r="763" ht="15.75" customHeight="1">
      <c r="E763" s="63"/>
    </row>
    <row r="764" ht="15.75" customHeight="1">
      <c r="E764" s="63"/>
    </row>
    <row r="765" ht="15.75" customHeight="1">
      <c r="E765" s="63"/>
    </row>
    <row r="766" ht="15.75" customHeight="1">
      <c r="E766" s="63"/>
    </row>
    <row r="767" ht="15.75" customHeight="1">
      <c r="E767" s="63"/>
    </row>
    <row r="768" ht="15.75" customHeight="1">
      <c r="E768" s="63"/>
    </row>
    <row r="769" ht="15.75" customHeight="1">
      <c r="E769" s="63"/>
    </row>
    <row r="770" ht="15.75" customHeight="1">
      <c r="E770" s="63"/>
    </row>
    <row r="771" ht="15.75" customHeight="1">
      <c r="E771" s="63"/>
    </row>
    <row r="772" ht="15.75" customHeight="1">
      <c r="E772" s="63"/>
    </row>
    <row r="773" ht="15.75" customHeight="1">
      <c r="E773" s="63"/>
    </row>
    <row r="774" ht="15.75" customHeight="1">
      <c r="E774" s="63"/>
    </row>
    <row r="775" ht="15.75" customHeight="1">
      <c r="E775" s="63"/>
    </row>
    <row r="776" ht="15.75" customHeight="1">
      <c r="E776" s="63"/>
    </row>
    <row r="777" ht="15.75" customHeight="1">
      <c r="E777" s="63"/>
    </row>
    <row r="778" ht="15.75" customHeight="1">
      <c r="E778" s="63"/>
    </row>
    <row r="779" ht="15.75" customHeight="1">
      <c r="E779" s="63"/>
    </row>
    <row r="780" ht="15.75" customHeight="1">
      <c r="E780" s="63"/>
    </row>
    <row r="781" ht="15.75" customHeight="1">
      <c r="E781" s="63"/>
    </row>
    <row r="782" ht="15.75" customHeight="1">
      <c r="E782" s="63"/>
    </row>
    <row r="783" ht="15.75" customHeight="1">
      <c r="E783" s="63"/>
    </row>
    <row r="784" ht="15.75" customHeight="1">
      <c r="E784" s="63"/>
    </row>
    <row r="785" ht="15.75" customHeight="1">
      <c r="E785" s="63"/>
    </row>
    <row r="786" ht="15.75" customHeight="1">
      <c r="E786" s="63"/>
    </row>
    <row r="787" ht="15.75" customHeight="1">
      <c r="E787" s="63"/>
    </row>
    <row r="788" ht="15.75" customHeight="1">
      <c r="E788" s="63"/>
    </row>
    <row r="789" ht="15.75" customHeight="1">
      <c r="E789" s="63"/>
    </row>
    <row r="790" ht="15.75" customHeight="1">
      <c r="E790" s="63"/>
    </row>
    <row r="791" ht="15.75" customHeight="1">
      <c r="E791" s="63"/>
    </row>
    <row r="792" ht="15.75" customHeight="1">
      <c r="E792" s="63"/>
    </row>
    <row r="793" ht="15.75" customHeight="1">
      <c r="E793" s="63"/>
    </row>
    <row r="794" ht="15.75" customHeight="1">
      <c r="E794" s="63"/>
    </row>
    <row r="795" ht="15.75" customHeight="1">
      <c r="E795" s="63"/>
    </row>
    <row r="796" ht="15.75" customHeight="1">
      <c r="E796" s="63"/>
    </row>
    <row r="797" ht="15.75" customHeight="1">
      <c r="E797" s="63"/>
    </row>
    <row r="798" ht="15.75" customHeight="1">
      <c r="E798" s="63"/>
    </row>
    <row r="799" ht="15.75" customHeight="1">
      <c r="E799" s="63"/>
    </row>
    <row r="800" ht="15.75" customHeight="1">
      <c r="E800" s="63"/>
    </row>
    <row r="801" ht="15.75" customHeight="1">
      <c r="E801" s="63"/>
    </row>
    <row r="802" ht="15.75" customHeight="1">
      <c r="E802" s="63"/>
    </row>
    <row r="803" ht="15.75" customHeight="1">
      <c r="E803" s="63"/>
    </row>
    <row r="804" ht="15.75" customHeight="1">
      <c r="E804" s="63"/>
    </row>
    <row r="805" ht="15.75" customHeight="1">
      <c r="E805" s="63"/>
    </row>
    <row r="806" ht="15.75" customHeight="1">
      <c r="E806" s="63"/>
    </row>
    <row r="807" ht="15.75" customHeight="1">
      <c r="E807" s="63"/>
    </row>
    <row r="808" ht="15.75" customHeight="1">
      <c r="E808" s="63"/>
    </row>
    <row r="809" ht="15.75" customHeight="1">
      <c r="E809" s="63"/>
    </row>
    <row r="810" ht="15.75" customHeight="1">
      <c r="E810" s="63"/>
    </row>
    <row r="811" ht="15.75" customHeight="1">
      <c r="E811" s="63"/>
    </row>
    <row r="812" ht="15.75" customHeight="1">
      <c r="E812" s="63"/>
    </row>
    <row r="813" ht="15.75" customHeight="1">
      <c r="E813" s="63"/>
    </row>
    <row r="814" ht="15.75" customHeight="1">
      <c r="E814" s="63"/>
    </row>
    <row r="815" ht="15.75" customHeight="1">
      <c r="E815" s="63"/>
    </row>
    <row r="816" ht="15.75" customHeight="1">
      <c r="E816" s="63"/>
    </row>
    <row r="817" ht="15.75" customHeight="1">
      <c r="E817" s="63"/>
    </row>
    <row r="818" ht="15.75" customHeight="1">
      <c r="E818" s="63"/>
    </row>
    <row r="819" ht="15.75" customHeight="1">
      <c r="E819" s="63"/>
    </row>
    <row r="820" ht="15.75" customHeight="1">
      <c r="E820" s="63"/>
    </row>
    <row r="821" ht="15.75" customHeight="1">
      <c r="E821" s="63"/>
    </row>
    <row r="822" ht="15.75" customHeight="1">
      <c r="E822" s="63"/>
    </row>
    <row r="823" ht="15.75" customHeight="1">
      <c r="E823" s="63"/>
    </row>
    <row r="824" ht="15.75" customHeight="1">
      <c r="E824" s="63"/>
    </row>
    <row r="825" ht="15.75" customHeight="1">
      <c r="E825" s="63"/>
    </row>
    <row r="826" ht="15.75" customHeight="1">
      <c r="E826" s="63"/>
    </row>
    <row r="827" ht="15.75" customHeight="1">
      <c r="E827" s="63"/>
    </row>
    <row r="828" ht="15.75" customHeight="1">
      <c r="E828" s="63"/>
    </row>
    <row r="829" ht="15.75" customHeight="1">
      <c r="E829" s="63"/>
    </row>
    <row r="830" ht="15.75" customHeight="1">
      <c r="E830" s="63"/>
    </row>
    <row r="831" ht="15.75" customHeight="1">
      <c r="E831" s="63"/>
    </row>
    <row r="832" ht="15.75" customHeight="1">
      <c r="E832" s="63"/>
    </row>
    <row r="833" ht="15.75" customHeight="1">
      <c r="E833" s="63"/>
    </row>
    <row r="834" ht="15.75" customHeight="1">
      <c r="E834" s="63"/>
    </row>
    <row r="835" ht="15.75" customHeight="1">
      <c r="E835" s="63"/>
    </row>
    <row r="836" ht="15.75" customHeight="1">
      <c r="E836" s="63"/>
    </row>
    <row r="837" ht="15.75" customHeight="1">
      <c r="E837" s="63"/>
    </row>
    <row r="838" ht="15.75" customHeight="1">
      <c r="E838" s="63"/>
    </row>
    <row r="839" ht="15.75" customHeight="1">
      <c r="E839" s="63"/>
    </row>
    <row r="840" ht="15.75" customHeight="1">
      <c r="E840" s="63"/>
    </row>
    <row r="841" ht="15.75" customHeight="1">
      <c r="E841" s="63"/>
    </row>
    <row r="842" ht="15.75" customHeight="1">
      <c r="E842" s="63"/>
    </row>
    <row r="843" ht="15.75" customHeight="1">
      <c r="E843" s="63"/>
    </row>
    <row r="844" ht="15.75" customHeight="1">
      <c r="E844" s="63"/>
    </row>
    <row r="845" ht="15.75" customHeight="1">
      <c r="E845" s="63"/>
    </row>
    <row r="846" ht="15.75" customHeight="1">
      <c r="E846" s="63"/>
    </row>
    <row r="847" ht="15.75" customHeight="1">
      <c r="E847" s="63"/>
    </row>
    <row r="848" ht="15.75" customHeight="1">
      <c r="E848" s="63"/>
    </row>
    <row r="849" ht="15.75" customHeight="1">
      <c r="E849" s="63"/>
    </row>
    <row r="850" ht="15.75" customHeight="1">
      <c r="E850" s="63"/>
    </row>
    <row r="851" ht="15.75" customHeight="1">
      <c r="E851" s="63"/>
    </row>
    <row r="852" ht="15.75" customHeight="1">
      <c r="E852" s="63"/>
    </row>
    <row r="853" ht="15.75" customHeight="1">
      <c r="E853" s="63"/>
    </row>
    <row r="854" ht="15.75" customHeight="1">
      <c r="E854" s="63"/>
    </row>
    <row r="855" ht="15.75" customHeight="1">
      <c r="E855" s="63"/>
    </row>
    <row r="856" ht="15.75" customHeight="1">
      <c r="E856" s="63"/>
    </row>
    <row r="857" ht="15.75" customHeight="1">
      <c r="E857" s="63"/>
    </row>
    <row r="858" ht="15.75" customHeight="1">
      <c r="E858" s="63"/>
    </row>
    <row r="859" ht="15.75" customHeight="1">
      <c r="E859" s="63"/>
    </row>
    <row r="860" ht="15.75" customHeight="1">
      <c r="E860" s="63"/>
    </row>
    <row r="861" ht="15.75" customHeight="1">
      <c r="E861" s="63"/>
    </row>
    <row r="862" ht="15.75" customHeight="1">
      <c r="E862" s="63"/>
    </row>
    <row r="863" ht="15.75" customHeight="1">
      <c r="E863" s="63"/>
    </row>
    <row r="864" ht="15.75" customHeight="1">
      <c r="E864" s="63"/>
    </row>
    <row r="865" ht="15.75" customHeight="1">
      <c r="E865" s="63"/>
    </row>
    <row r="866" ht="15.75" customHeight="1">
      <c r="E866" s="63"/>
    </row>
    <row r="867" ht="15.75" customHeight="1">
      <c r="E867" s="63"/>
    </row>
    <row r="868" ht="15.75" customHeight="1">
      <c r="E868" s="63"/>
    </row>
    <row r="869" ht="15.75" customHeight="1">
      <c r="E869" s="63"/>
    </row>
    <row r="870" ht="15.75" customHeight="1">
      <c r="E870" s="63"/>
    </row>
    <row r="871" ht="15.75" customHeight="1">
      <c r="E871" s="63"/>
    </row>
    <row r="872" ht="15.75" customHeight="1">
      <c r="E872" s="63"/>
    </row>
    <row r="873" ht="15.75" customHeight="1">
      <c r="E873" s="63"/>
    </row>
    <row r="874" ht="15.75" customHeight="1">
      <c r="E874" s="63"/>
    </row>
    <row r="875" ht="15.75" customHeight="1">
      <c r="E875" s="63"/>
    </row>
    <row r="876" ht="15.75" customHeight="1">
      <c r="E876" s="63"/>
    </row>
    <row r="877" ht="15.75" customHeight="1">
      <c r="E877" s="63"/>
    </row>
    <row r="878" ht="15.75" customHeight="1">
      <c r="E878" s="63"/>
    </row>
    <row r="879" ht="15.75" customHeight="1">
      <c r="E879" s="63"/>
    </row>
    <row r="880" ht="15.75" customHeight="1">
      <c r="E880" s="63"/>
    </row>
    <row r="881" ht="15.75" customHeight="1">
      <c r="E881" s="63"/>
    </row>
    <row r="882" ht="15.75" customHeight="1">
      <c r="E882" s="63"/>
    </row>
    <row r="883" ht="15.75" customHeight="1">
      <c r="E883" s="63"/>
    </row>
    <row r="884" ht="15.75" customHeight="1">
      <c r="E884" s="63"/>
    </row>
    <row r="885" ht="15.75" customHeight="1">
      <c r="E885" s="63"/>
    </row>
    <row r="886" ht="15.75" customHeight="1">
      <c r="E886" s="63"/>
    </row>
    <row r="887" ht="15.75" customHeight="1">
      <c r="E887" s="63"/>
    </row>
    <row r="888" ht="15.75" customHeight="1">
      <c r="E888" s="63"/>
    </row>
    <row r="889" ht="15.75" customHeight="1">
      <c r="E889" s="63"/>
    </row>
    <row r="890" ht="15.75" customHeight="1">
      <c r="E890" s="63"/>
    </row>
    <row r="891" ht="15.75" customHeight="1">
      <c r="E891" s="63"/>
    </row>
    <row r="892" ht="15.75" customHeight="1">
      <c r="E892" s="63"/>
    </row>
    <row r="893" ht="15.75" customHeight="1">
      <c r="E893" s="63"/>
    </row>
    <row r="894" ht="15.75" customHeight="1">
      <c r="E894" s="63"/>
    </row>
    <row r="895" ht="15.75" customHeight="1">
      <c r="E895" s="63"/>
    </row>
    <row r="896" ht="15.75" customHeight="1">
      <c r="E896" s="63"/>
    </row>
    <row r="897" ht="15.75" customHeight="1">
      <c r="E897" s="63"/>
    </row>
    <row r="898" ht="15.75" customHeight="1">
      <c r="E898" s="63"/>
    </row>
    <row r="899" ht="15.75" customHeight="1">
      <c r="E899" s="63"/>
    </row>
    <row r="900" ht="15.75" customHeight="1">
      <c r="E900" s="63"/>
    </row>
    <row r="901" ht="15.75" customHeight="1">
      <c r="E901" s="63"/>
    </row>
    <row r="902" ht="15.75" customHeight="1">
      <c r="E902" s="63"/>
    </row>
    <row r="903" ht="15.75" customHeight="1">
      <c r="E903" s="63"/>
    </row>
    <row r="904" ht="15.75" customHeight="1">
      <c r="E904" s="63"/>
    </row>
    <row r="905" ht="15.75" customHeight="1">
      <c r="E905" s="63"/>
    </row>
    <row r="906" ht="15.75" customHeight="1">
      <c r="E906" s="63"/>
    </row>
    <row r="907" ht="15.75" customHeight="1">
      <c r="E907" s="63"/>
    </row>
    <row r="908" ht="15.75" customHeight="1">
      <c r="E908" s="63"/>
    </row>
    <row r="909" ht="15.75" customHeight="1">
      <c r="E909" s="63"/>
    </row>
    <row r="910" ht="15.75" customHeight="1">
      <c r="E910" s="63"/>
    </row>
    <row r="911" ht="15.75" customHeight="1">
      <c r="E911" s="63"/>
    </row>
    <row r="912" ht="15.75" customHeight="1">
      <c r="E912" s="63"/>
    </row>
    <row r="913" ht="15.75" customHeight="1">
      <c r="E913" s="63"/>
    </row>
    <row r="914" ht="15.75" customHeight="1">
      <c r="E914" s="63"/>
    </row>
    <row r="915" ht="15.75" customHeight="1">
      <c r="E915" s="63"/>
    </row>
    <row r="916" ht="15.75" customHeight="1">
      <c r="E916" s="63"/>
    </row>
    <row r="917" ht="15.75" customHeight="1">
      <c r="E917" s="63"/>
    </row>
    <row r="918" ht="15.75" customHeight="1">
      <c r="E918" s="63"/>
    </row>
    <row r="919" ht="15.75" customHeight="1">
      <c r="E919" s="63"/>
    </row>
    <row r="920" ht="15.75" customHeight="1">
      <c r="E920" s="63"/>
    </row>
    <row r="921" ht="15.75" customHeight="1">
      <c r="E921" s="63"/>
    </row>
    <row r="922" ht="15.75" customHeight="1">
      <c r="E922" s="63"/>
    </row>
    <row r="923" ht="15.75" customHeight="1">
      <c r="E923" s="63"/>
    </row>
    <row r="924" ht="15.75" customHeight="1">
      <c r="E924" s="63"/>
    </row>
    <row r="925" ht="15.75" customHeight="1">
      <c r="E925" s="63"/>
    </row>
    <row r="926" ht="15.75" customHeight="1">
      <c r="E926" s="63"/>
    </row>
    <row r="927" ht="15.75" customHeight="1">
      <c r="E927" s="63"/>
    </row>
    <row r="928" ht="15.75" customHeight="1">
      <c r="E928" s="63"/>
    </row>
    <row r="929" ht="15.75" customHeight="1">
      <c r="E929" s="63"/>
    </row>
    <row r="930" ht="15.75" customHeight="1">
      <c r="E930" s="63"/>
    </row>
    <row r="931" ht="15.75" customHeight="1">
      <c r="E931" s="63"/>
    </row>
    <row r="932" ht="15.75" customHeight="1">
      <c r="E932" s="63"/>
    </row>
    <row r="933" ht="15.75" customHeight="1">
      <c r="E933" s="63"/>
    </row>
    <row r="934" ht="15.75" customHeight="1">
      <c r="E934" s="63"/>
    </row>
    <row r="935" ht="15.75" customHeight="1">
      <c r="E935" s="63"/>
    </row>
    <row r="936" ht="15.75" customHeight="1">
      <c r="E936" s="63"/>
    </row>
    <row r="937" ht="15.75" customHeight="1">
      <c r="E937" s="63"/>
    </row>
    <row r="938" ht="15.75" customHeight="1">
      <c r="E938" s="63"/>
    </row>
    <row r="939" ht="15.75" customHeight="1">
      <c r="E939" s="63"/>
    </row>
    <row r="940" ht="15.75" customHeight="1">
      <c r="E940" s="63"/>
    </row>
    <row r="941" ht="15.75" customHeight="1">
      <c r="E941" s="63"/>
    </row>
    <row r="942" ht="15.75" customHeight="1">
      <c r="E942" s="63"/>
    </row>
    <row r="943" ht="15.75" customHeight="1">
      <c r="E943" s="63"/>
    </row>
    <row r="944" ht="15.75" customHeight="1">
      <c r="E944" s="63"/>
    </row>
    <row r="945" ht="15.75" customHeight="1">
      <c r="E945" s="63"/>
    </row>
    <row r="946" ht="15.75" customHeight="1">
      <c r="E946" s="63"/>
    </row>
    <row r="947" ht="15.75" customHeight="1">
      <c r="E947" s="63"/>
    </row>
    <row r="948" ht="15.75" customHeight="1">
      <c r="E948" s="63"/>
    </row>
    <row r="949" ht="15.75" customHeight="1">
      <c r="E949" s="63"/>
    </row>
    <row r="950" ht="15.75" customHeight="1">
      <c r="E950" s="63"/>
    </row>
    <row r="951" ht="15.75" customHeight="1">
      <c r="E951" s="63"/>
    </row>
    <row r="952" ht="15.75" customHeight="1">
      <c r="E952" s="63"/>
    </row>
    <row r="953" ht="15.75" customHeight="1">
      <c r="E953" s="63"/>
    </row>
    <row r="954" ht="15.75" customHeight="1">
      <c r="E954" s="63"/>
    </row>
    <row r="955" ht="15.75" customHeight="1">
      <c r="E955" s="63"/>
    </row>
    <row r="956" ht="15.75" customHeight="1">
      <c r="E956" s="63"/>
    </row>
    <row r="957" ht="15.75" customHeight="1">
      <c r="E957" s="63"/>
    </row>
    <row r="958" ht="15.75" customHeight="1">
      <c r="E958" s="63"/>
    </row>
    <row r="959" ht="15.75" customHeight="1">
      <c r="E959" s="63"/>
    </row>
    <row r="960" ht="15.75" customHeight="1">
      <c r="E960" s="63"/>
    </row>
    <row r="961" ht="15.75" customHeight="1">
      <c r="E961" s="63"/>
    </row>
    <row r="962" ht="15.75" customHeight="1">
      <c r="E962" s="63"/>
    </row>
    <row r="963" ht="15.75" customHeight="1">
      <c r="E963" s="63"/>
    </row>
    <row r="964" ht="15.75" customHeight="1">
      <c r="E964" s="63"/>
    </row>
    <row r="965" ht="15.75" customHeight="1">
      <c r="E965" s="63"/>
    </row>
    <row r="966" ht="15.75" customHeight="1">
      <c r="E966" s="63"/>
    </row>
    <row r="967" ht="15.75" customHeight="1">
      <c r="E967" s="63"/>
    </row>
    <row r="968" ht="15.75" customHeight="1">
      <c r="E968" s="63"/>
    </row>
    <row r="969" ht="15.75" customHeight="1">
      <c r="E969" s="63"/>
    </row>
    <row r="970" ht="15.75" customHeight="1">
      <c r="E970" s="63"/>
    </row>
    <row r="971" ht="15.75" customHeight="1">
      <c r="E971" s="63"/>
    </row>
    <row r="972" ht="15.75" customHeight="1">
      <c r="E972" s="63"/>
    </row>
    <row r="973" ht="15.75" customHeight="1">
      <c r="E973" s="63"/>
    </row>
    <row r="974" ht="15.75" customHeight="1">
      <c r="E974" s="63"/>
    </row>
    <row r="975" ht="15.75" customHeight="1">
      <c r="E975" s="63"/>
    </row>
    <row r="976" ht="15.75" customHeight="1">
      <c r="E976" s="63"/>
    </row>
    <row r="977" ht="15.75" customHeight="1">
      <c r="E977" s="63"/>
    </row>
    <row r="978" ht="15.75" customHeight="1">
      <c r="E978" s="63"/>
    </row>
    <row r="979" ht="15.75" customHeight="1">
      <c r="E979" s="63"/>
    </row>
    <row r="980" ht="15.75" customHeight="1">
      <c r="E980" s="63"/>
    </row>
    <row r="981" ht="15.75" customHeight="1">
      <c r="E981" s="63"/>
    </row>
    <row r="982" ht="15.75" customHeight="1">
      <c r="E982" s="63"/>
    </row>
    <row r="983" ht="15.75" customHeight="1">
      <c r="E983" s="63"/>
    </row>
    <row r="984" ht="15.75" customHeight="1">
      <c r="E984" s="63"/>
    </row>
    <row r="985" ht="15.75" customHeight="1">
      <c r="E985" s="63"/>
    </row>
    <row r="986" ht="15.75" customHeight="1">
      <c r="E986" s="63"/>
    </row>
    <row r="987" ht="15.75" customHeight="1">
      <c r="E987" s="63"/>
    </row>
    <row r="988" ht="15.75" customHeight="1">
      <c r="E988" s="63"/>
    </row>
    <row r="989" ht="15.75" customHeight="1">
      <c r="E989" s="63"/>
    </row>
    <row r="990" ht="15.75" customHeight="1">
      <c r="E990" s="63"/>
    </row>
    <row r="991" ht="15.75" customHeight="1">
      <c r="E991" s="63"/>
    </row>
    <row r="992" ht="15.75" customHeight="1">
      <c r="E992" s="63"/>
    </row>
    <row r="993" ht="15.75" customHeight="1">
      <c r="E993" s="63"/>
    </row>
    <row r="994" ht="15.75" customHeight="1">
      <c r="E994" s="63"/>
    </row>
    <row r="995" ht="15.75" customHeight="1">
      <c r="E995" s="63"/>
    </row>
    <row r="996" ht="15.75" customHeight="1">
      <c r="E996" s="63"/>
    </row>
    <row r="997" ht="15.75" customHeight="1">
      <c r="E997" s="63"/>
    </row>
    <row r="998" ht="15.75" customHeight="1">
      <c r="E998" s="63"/>
    </row>
    <row r="999" ht="15.75" customHeight="1">
      <c r="E999" s="63"/>
    </row>
    <row r="1000" ht="15.75" customHeight="1">
      <c r="E1000" s="63"/>
    </row>
  </sheetData>
  <conditionalFormatting sqref="D2:D1000">
    <cfRule type="cellIs" dxfId="0" priority="1" operator="greaterThanOrEqual">
      <formula>8</formula>
    </cfRule>
  </conditionalFormatting>
  <conditionalFormatting sqref="D2:D1000">
    <cfRule type="cellIs" dxfId="1" priority="2" operator="between">
      <formula>7</formula>
      <formula>7.99</formula>
    </cfRule>
  </conditionalFormatting>
  <conditionalFormatting sqref="D2:D1000">
    <cfRule type="cellIs" dxfId="2" priority="3" operator="lessThan">
      <formula>7</formula>
    </cfRule>
  </conditionalFormatting>
  <conditionalFormatting sqref="A2:E1000">
    <cfRule type="expression" dxfId="3" priority="4">
      <formula>$C2="Overall"</formula>
    </cfRule>
  </conditionalFormatting>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7316"/>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3.0"/>
    <col customWidth="1" min="2" max="2" width="28.0"/>
    <col customWidth="1" min="3" max="3" width="20.0"/>
    <col customWidth="1" min="4" max="4" width="8.0"/>
    <col customWidth="1" min="5" max="5" width="22.0"/>
    <col customWidth="1" min="6" max="6" width="14.0"/>
    <col customWidth="1" min="7" max="7" width="8.0"/>
  </cols>
  <sheetData>
    <row r="1" ht="18.0" customHeight="1">
      <c r="A1" s="2" t="s">
        <v>0</v>
      </c>
      <c r="B1" s="2" t="s">
        <v>203</v>
      </c>
      <c r="C1" s="2" t="s">
        <v>204</v>
      </c>
      <c r="D1" s="2" t="s">
        <v>2</v>
      </c>
      <c r="E1" s="2" t="s">
        <v>9</v>
      </c>
      <c r="F1" s="61" t="s">
        <v>10</v>
      </c>
      <c r="G1" s="62">
        <f>COUNTA(A:A)-1</f>
        <v>1</v>
      </c>
    </row>
    <row r="2" ht="18.0" customHeight="1">
      <c r="A2" s="35" t="s">
        <v>205</v>
      </c>
      <c r="B2" s="14" t="s">
        <v>206</v>
      </c>
      <c r="C2" s="14" t="s">
        <v>207</v>
      </c>
      <c r="D2" s="54"/>
      <c r="E2" s="14"/>
      <c r="F2" s="64" t="s">
        <v>28</v>
      </c>
      <c r="G2" s="18" t="str">
        <f>IFERROR(ROUND(AVERAGE(D2:D10000),1),"—")</f>
        <v>—</v>
      </c>
    </row>
    <row r="3" ht="18.0" customHeight="1">
      <c r="A3" s="38"/>
      <c r="B3" s="24"/>
      <c r="C3" s="24"/>
      <c r="D3" s="51"/>
      <c r="E3" s="24"/>
      <c r="F3" s="25"/>
      <c r="G3" s="65"/>
    </row>
    <row r="4" ht="18.0" customHeight="1">
      <c r="A4" s="35"/>
      <c r="B4" s="14"/>
      <c r="C4" s="14"/>
      <c r="D4" s="54"/>
      <c r="E4" s="14"/>
      <c r="F4" s="25"/>
      <c r="G4" s="65"/>
    </row>
    <row r="5" ht="18.0" customHeight="1">
      <c r="A5" s="38"/>
      <c r="B5" s="24"/>
      <c r="C5" s="24"/>
      <c r="D5" s="51"/>
      <c r="E5" s="24"/>
      <c r="F5" s="25"/>
      <c r="G5" s="65"/>
    </row>
    <row r="6" ht="18.0" customHeight="1">
      <c r="A6" s="35"/>
      <c r="B6" s="14"/>
      <c r="C6" s="14"/>
      <c r="D6" s="54"/>
      <c r="E6" s="14"/>
      <c r="F6" s="25"/>
      <c r="G6" s="65"/>
    </row>
    <row r="7" ht="18.0" customHeight="1">
      <c r="A7" s="38"/>
      <c r="B7" s="24"/>
      <c r="C7" s="24"/>
      <c r="D7" s="51"/>
      <c r="E7" s="24"/>
      <c r="F7" s="25"/>
      <c r="G7" s="65"/>
    </row>
    <row r="8" ht="18.0" customHeight="1">
      <c r="A8" s="35"/>
      <c r="B8" s="14"/>
      <c r="C8" s="14"/>
      <c r="D8" s="54"/>
      <c r="E8" s="14"/>
      <c r="F8" s="25"/>
      <c r="G8" s="65"/>
    </row>
    <row r="9" ht="18.0" customHeight="1">
      <c r="A9" s="38"/>
      <c r="B9" s="24"/>
      <c r="C9" s="24"/>
      <c r="D9" s="51"/>
      <c r="E9" s="24"/>
      <c r="F9" s="25"/>
      <c r="G9" s="65"/>
    </row>
    <row r="10" ht="18.0" customHeight="1">
      <c r="A10" s="35"/>
      <c r="B10" s="14"/>
      <c r="C10" s="14"/>
      <c r="D10" s="54"/>
      <c r="E10" s="14"/>
      <c r="F10" s="25"/>
      <c r="G10" s="65"/>
    </row>
    <row r="11" ht="18.0" customHeight="1">
      <c r="A11" s="38"/>
      <c r="B11" s="24"/>
      <c r="C11" s="24"/>
      <c r="D11" s="51"/>
      <c r="E11" s="24"/>
      <c r="F11" s="25"/>
      <c r="G11" s="65"/>
    </row>
    <row r="12" ht="18.0" customHeight="1">
      <c r="A12" s="35"/>
      <c r="B12" s="14"/>
      <c r="C12" s="14"/>
      <c r="D12" s="54"/>
      <c r="E12" s="14"/>
      <c r="F12" s="25"/>
      <c r="G12" s="65"/>
    </row>
    <row r="13" ht="18.0" customHeight="1">
      <c r="A13" s="38"/>
      <c r="B13" s="24"/>
      <c r="C13" s="24"/>
      <c r="D13" s="51"/>
      <c r="E13" s="24"/>
      <c r="F13" s="25"/>
      <c r="G13" s="65"/>
    </row>
    <row r="14" ht="18.0" customHeight="1">
      <c r="A14" s="35"/>
      <c r="B14" s="14"/>
      <c r="C14" s="14"/>
      <c r="D14" s="54"/>
      <c r="E14" s="14"/>
      <c r="F14" s="25"/>
      <c r="G14" s="65"/>
    </row>
    <row r="15" ht="18.0" customHeight="1">
      <c r="A15" s="38"/>
      <c r="B15" s="24"/>
      <c r="C15" s="24"/>
      <c r="D15" s="51"/>
      <c r="E15" s="24"/>
      <c r="F15" s="25"/>
      <c r="G15" s="65"/>
    </row>
    <row r="16" ht="18.0" customHeight="1">
      <c r="A16" s="35"/>
      <c r="B16" s="14"/>
      <c r="C16" s="14"/>
      <c r="D16" s="54"/>
      <c r="E16" s="14"/>
      <c r="F16" s="25"/>
      <c r="G16" s="65"/>
    </row>
    <row r="17" ht="18.0" customHeight="1">
      <c r="A17" s="38"/>
      <c r="B17" s="24"/>
      <c r="C17" s="24"/>
      <c r="D17" s="51"/>
      <c r="E17" s="24"/>
      <c r="F17" s="25"/>
      <c r="G17" s="65"/>
    </row>
    <row r="18" ht="18.0" customHeight="1">
      <c r="A18" s="35"/>
      <c r="B18" s="14"/>
      <c r="C18" s="14"/>
      <c r="D18" s="54"/>
      <c r="E18" s="14"/>
      <c r="F18" s="25"/>
      <c r="G18" s="65"/>
    </row>
    <row r="19" ht="18.0" customHeight="1">
      <c r="A19" s="38"/>
      <c r="B19" s="24"/>
      <c r="C19" s="24"/>
      <c r="D19" s="51"/>
      <c r="E19" s="24"/>
      <c r="F19" s="25"/>
      <c r="G19" s="65"/>
    </row>
    <row r="20" ht="18.0" customHeight="1">
      <c r="A20" s="35"/>
      <c r="B20" s="14"/>
      <c r="C20" s="14"/>
      <c r="D20" s="54"/>
      <c r="E20" s="14"/>
      <c r="F20" s="25"/>
      <c r="G20" s="65"/>
    </row>
    <row r="21" ht="18.0" customHeight="1">
      <c r="A21" s="38"/>
      <c r="B21" s="24"/>
      <c r="C21" s="24"/>
      <c r="D21" s="51"/>
      <c r="E21" s="24"/>
      <c r="F21" s="25"/>
      <c r="G21" s="65"/>
    </row>
    <row r="22" ht="18.0" customHeight="1">
      <c r="A22" s="35"/>
      <c r="B22" s="14"/>
      <c r="C22" s="14"/>
      <c r="D22" s="54"/>
      <c r="E22" s="14"/>
      <c r="F22" s="25"/>
      <c r="G22" s="65"/>
    </row>
    <row r="23" ht="18.0" customHeight="1">
      <c r="A23" s="38"/>
      <c r="B23" s="24"/>
      <c r="C23" s="24"/>
      <c r="D23" s="51"/>
      <c r="E23" s="24"/>
      <c r="F23" s="25"/>
      <c r="G23" s="65"/>
    </row>
    <row r="24" ht="18.0" customHeight="1">
      <c r="A24" s="35"/>
      <c r="B24" s="14"/>
      <c r="C24" s="14"/>
      <c r="D24" s="54"/>
      <c r="E24" s="14"/>
      <c r="F24" s="25"/>
      <c r="G24" s="65"/>
    </row>
    <row r="25" ht="18.0" customHeight="1">
      <c r="A25" s="38"/>
      <c r="B25" s="24"/>
      <c r="C25" s="24"/>
      <c r="D25" s="51"/>
      <c r="E25" s="24"/>
      <c r="F25" s="25"/>
      <c r="G25" s="65"/>
    </row>
    <row r="26" ht="18.0" customHeight="1">
      <c r="A26" s="35"/>
      <c r="B26" s="14"/>
      <c r="C26" s="14"/>
      <c r="D26" s="54"/>
      <c r="E26" s="14"/>
      <c r="F26" s="25"/>
      <c r="G26" s="65"/>
    </row>
    <row r="27" ht="18.0" customHeight="1">
      <c r="A27" s="38"/>
      <c r="B27" s="24"/>
      <c r="C27" s="24"/>
      <c r="D27" s="51"/>
      <c r="E27" s="24"/>
      <c r="F27" s="25"/>
      <c r="G27" s="65"/>
    </row>
    <row r="28" ht="18.0" customHeight="1">
      <c r="A28" s="35"/>
      <c r="B28" s="14"/>
      <c r="C28" s="14"/>
      <c r="D28" s="54"/>
      <c r="E28" s="14"/>
      <c r="F28" s="25"/>
      <c r="G28" s="65"/>
    </row>
    <row r="29" ht="18.0" customHeight="1">
      <c r="A29" s="38"/>
      <c r="B29" s="24"/>
      <c r="C29" s="24"/>
      <c r="D29" s="51"/>
      <c r="E29" s="24"/>
      <c r="F29" s="25"/>
      <c r="G29" s="65"/>
    </row>
    <row r="30" ht="18.0" customHeight="1">
      <c r="A30" s="35"/>
      <c r="B30" s="14"/>
      <c r="C30" s="14"/>
      <c r="D30" s="54"/>
      <c r="E30" s="14"/>
      <c r="F30" s="25"/>
      <c r="G30" s="65"/>
    </row>
    <row r="31" ht="18.0" customHeight="1">
      <c r="A31" s="38"/>
      <c r="B31" s="24"/>
      <c r="C31" s="24"/>
      <c r="D31" s="51"/>
      <c r="E31" s="24"/>
      <c r="F31" s="25"/>
      <c r="G31" s="65"/>
    </row>
    <row r="32" ht="18.0" customHeight="1">
      <c r="A32" s="35"/>
      <c r="B32" s="14"/>
      <c r="C32" s="14"/>
      <c r="D32" s="54"/>
      <c r="E32" s="14"/>
      <c r="F32" s="25"/>
      <c r="G32" s="65"/>
    </row>
    <row r="33" ht="18.0" customHeight="1">
      <c r="A33" s="38"/>
      <c r="B33" s="24"/>
      <c r="C33" s="24"/>
      <c r="D33" s="51"/>
      <c r="E33" s="24"/>
      <c r="F33" s="25"/>
      <c r="G33" s="65"/>
    </row>
    <row r="34" ht="18.0" customHeight="1">
      <c r="A34" s="35"/>
      <c r="B34" s="14"/>
      <c r="C34" s="14"/>
      <c r="D34" s="54"/>
      <c r="E34" s="14"/>
      <c r="F34" s="25"/>
      <c r="G34" s="65"/>
    </row>
    <row r="35" ht="18.0" customHeight="1">
      <c r="A35" s="38"/>
      <c r="B35" s="24"/>
      <c r="C35" s="24"/>
      <c r="D35" s="51"/>
      <c r="E35" s="24"/>
      <c r="F35" s="25"/>
      <c r="G35" s="65"/>
    </row>
    <row r="36" ht="18.0" customHeight="1">
      <c r="A36" s="35"/>
      <c r="B36" s="14"/>
      <c r="C36" s="14"/>
      <c r="D36" s="54"/>
      <c r="E36" s="14"/>
      <c r="F36" s="25"/>
      <c r="G36" s="65"/>
    </row>
    <row r="37" ht="18.0" customHeight="1">
      <c r="A37" s="38"/>
      <c r="B37" s="24"/>
      <c r="C37" s="24"/>
      <c r="D37" s="51"/>
      <c r="E37" s="24"/>
      <c r="F37" s="25"/>
      <c r="G37" s="65"/>
    </row>
    <row r="38" ht="18.0" customHeight="1">
      <c r="A38" s="35"/>
      <c r="B38" s="14"/>
      <c r="C38" s="14"/>
      <c r="D38" s="54"/>
      <c r="E38" s="14"/>
      <c r="F38" s="25"/>
      <c r="G38" s="65"/>
    </row>
    <row r="39" ht="18.0" customHeight="1">
      <c r="A39" s="38"/>
      <c r="B39" s="24"/>
      <c r="C39" s="24"/>
      <c r="D39" s="51"/>
      <c r="E39" s="24"/>
      <c r="F39" s="25"/>
      <c r="G39" s="65"/>
    </row>
    <row r="40" ht="18.0" customHeight="1">
      <c r="A40" s="35"/>
      <c r="B40" s="14"/>
      <c r="C40" s="14"/>
      <c r="D40" s="54"/>
      <c r="E40" s="14"/>
      <c r="F40" s="25"/>
      <c r="G40" s="65"/>
    </row>
    <row r="41" ht="18.0" customHeight="1">
      <c r="A41" s="38"/>
      <c r="B41" s="24"/>
      <c r="C41" s="24"/>
      <c r="D41" s="51"/>
      <c r="E41" s="24"/>
      <c r="F41" s="25"/>
      <c r="G41" s="65"/>
    </row>
    <row r="42" ht="18.0" customHeight="1">
      <c r="A42" s="35"/>
      <c r="B42" s="14"/>
      <c r="C42" s="14"/>
      <c r="D42" s="54"/>
      <c r="E42" s="14"/>
      <c r="F42" s="25"/>
      <c r="G42" s="65"/>
    </row>
    <row r="43" ht="18.0" customHeight="1">
      <c r="A43" s="38"/>
      <c r="B43" s="24"/>
      <c r="C43" s="24"/>
      <c r="D43" s="51"/>
      <c r="E43" s="24"/>
      <c r="F43" s="25"/>
      <c r="G43" s="65"/>
    </row>
    <row r="44" ht="18.0" customHeight="1">
      <c r="A44" s="35"/>
      <c r="B44" s="14"/>
      <c r="C44" s="14"/>
      <c r="D44" s="54"/>
      <c r="E44" s="14"/>
      <c r="F44" s="25"/>
      <c r="G44" s="65"/>
    </row>
    <row r="45" ht="18.0" customHeight="1">
      <c r="A45" s="38"/>
      <c r="B45" s="24"/>
      <c r="C45" s="24"/>
      <c r="D45" s="51"/>
      <c r="E45" s="24"/>
      <c r="F45" s="25"/>
      <c r="G45" s="65"/>
    </row>
    <row r="46" ht="18.0" customHeight="1">
      <c r="A46" s="35"/>
      <c r="B46" s="14"/>
      <c r="C46" s="14"/>
      <c r="D46" s="54"/>
      <c r="E46" s="14"/>
      <c r="F46" s="25"/>
      <c r="G46" s="65"/>
    </row>
    <row r="47" ht="18.0" customHeight="1">
      <c r="A47" s="38"/>
      <c r="B47" s="24"/>
      <c r="C47" s="24"/>
      <c r="D47" s="51"/>
      <c r="E47" s="24"/>
      <c r="F47" s="25"/>
      <c r="G47" s="65"/>
    </row>
    <row r="48" ht="18.0" customHeight="1">
      <c r="A48" s="35"/>
      <c r="B48" s="14"/>
      <c r="C48" s="14"/>
      <c r="D48" s="54"/>
      <c r="E48" s="14"/>
      <c r="F48" s="25"/>
      <c r="G48" s="65"/>
    </row>
    <row r="49" ht="18.0" customHeight="1">
      <c r="A49" s="38"/>
      <c r="B49" s="24"/>
      <c r="C49" s="24"/>
      <c r="D49" s="51"/>
      <c r="E49" s="24"/>
      <c r="F49" s="25"/>
      <c r="G49" s="65"/>
    </row>
    <row r="50" ht="18.0" customHeight="1">
      <c r="A50" s="35"/>
      <c r="B50" s="14"/>
      <c r="C50" s="14"/>
      <c r="D50" s="54"/>
      <c r="E50" s="14"/>
      <c r="F50" s="25"/>
      <c r="G50" s="65"/>
    </row>
    <row r="51" ht="18.0" customHeight="1">
      <c r="A51" s="38"/>
      <c r="B51" s="24"/>
      <c r="C51" s="24"/>
      <c r="D51" s="51"/>
      <c r="E51" s="24"/>
      <c r="F51" s="25"/>
      <c r="G51" s="65"/>
    </row>
    <row r="52" ht="18.0" customHeight="1">
      <c r="A52" s="35"/>
      <c r="B52" s="14"/>
      <c r="C52" s="14"/>
      <c r="D52" s="54"/>
      <c r="E52" s="14"/>
      <c r="F52" s="25"/>
      <c r="G52" s="65"/>
    </row>
    <row r="53" ht="18.0" customHeight="1">
      <c r="A53" s="38"/>
      <c r="B53" s="24"/>
      <c r="C53" s="24"/>
      <c r="D53" s="51"/>
      <c r="E53" s="24"/>
      <c r="F53" s="25"/>
      <c r="G53" s="65"/>
    </row>
    <row r="54" ht="18.0" customHeight="1">
      <c r="A54" s="35"/>
      <c r="B54" s="14"/>
      <c r="C54" s="14"/>
      <c r="D54" s="54"/>
      <c r="E54" s="14"/>
      <c r="F54" s="25"/>
      <c r="G54" s="65"/>
    </row>
    <row r="55" ht="18.0" customHeight="1">
      <c r="A55" s="38"/>
      <c r="B55" s="24"/>
      <c r="C55" s="24"/>
      <c r="D55" s="51"/>
      <c r="E55" s="24"/>
      <c r="F55" s="25"/>
      <c r="G55" s="65"/>
    </row>
    <row r="56" ht="18.0" customHeight="1">
      <c r="A56" s="35"/>
      <c r="B56" s="14"/>
      <c r="C56" s="14"/>
      <c r="D56" s="54"/>
      <c r="E56" s="14"/>
      <c r="F56" s="25"/>
      <c r="G56" s="65"/>
    </row>
    <row r="57" ht="18.0" customHeight="1">
      <c r="A57" s="38"/>
      <c r="B57" s="24"/>
      <c r="C57" s="24"/>
      <c r="D57" s="51"/>
      <c r="E57" s="24"/>
      <c r="F57" s="25"/>
      <c r="G57" s="65"/>
    </row>
    <row r="58" ht="18.0" customHeight="1">
      <c r="A58" s="35"/>
      <c r="B58" s="14"/>
      <c r="C58" s="14"/>
      <c r="D58" s="54"/>
      <c r="E58" s="14"/>
      <c r="F58" s="25"/>
      <c r="G58" s="65"/>
    </row>
    <row r="59" ht="18.0" customHeight="1">
      <c r="A59" s="38"/>
      <c r="B59" s="24"/>
      <c r="C59" s="24"/>
      <c r="D59" s="51"/>
      <c r="E59" s="24"/>
      <c r="F59" s="25"/>
      <c r="G59" s="65"/>
    </row>
    <row r="60" ht="18.0" customHeight="1">
      <c r="A60" s="35"/>
      <c r="B60" s="14"/>
      <c r="C60" s="14"/>
      <c r="D60" s="54"/>
      <c r="E60" s="14"/>
      <c r="F60" s="25"/>
      <c r="G60" s="65"/>
    </row>
    <row r="61" ht="18.0" customHeight="1">
      <c r="A61" s="38"/>
      <c r="B61" s="24"/>
      <c r="C61" s="24"/>
      <c r="D61" s="51"/>
      <c r="E61" s="24"/>
      <c r="F61" s="25"/>
      <c r="G61" s="65"/>
    </row>
    <row r="62" ht="18.0" customHeight="1">
      <c r="A62" s="35"/>
      <c r="B62" s="14"/>
      <c r="C62" s="14"/>
      <c r="D62" s="54"/>
      <c r="E62" s="14"/>
      <c r="F62" s="25"/>
      <c r="G62" s="65"/>
    </row>
    <row r="63" ht="18.0" customHeight="1">
      <c r="A63" s="38"/>
      <c r="B63" s="24"/>
      <c r="C63" s="24"/>
      <c r="D63" s="51"/>
      <c r="E63" s="24"/>
      <c r="F63" s="25"/>
      <c r="G63" s="65"/>
    </row>
    <row r="64" ht="18.0" customHeight="1">
      <c r="A64" s="35"/>
      <c r="B64" s="14"/>
      <c r="C64" s="14"/>
      <c r="D64" s="54"/>
      <c r="E64" s="14"/>
      <c r="F64" s="25"/>
      <c r="G64" s="65"/>
    </row>
    <row r="65" ht="18.0" customHeight="1">
      <c r="A65" s="38"/>
      <c r="B65" s="24"/>
      <c r="C65" s="24"/>
      <c r="D65" s="51"/>
      <c r="E65" s="24"/>
      <c r="F65" s="25"/>
      <c r="G65" s="65"/>
    </row>
    <row r="66" ht="18.0" customHeight="1">
      <c r="A66" s="35"/>
      <c r="B66" s="14"/>
      <c r="C66" s="14"/>
      <c r="D66" s="54"/>
      <c r="E66" s="14"/>
      <c r="F66" s="25"/>
      <c r="G66" s="65"/>
    </row>
    <row r="67" ht="18.0" customHeight="1">
      <c r="A67" s="38"/>
      <c r="B67" s="24"/>
      <c r="C67" s="24"/>
      <c r="D67" s="51"/>
      <c r="E67" s="24"/>
      <c r="F67" s="25"/>
      <c r="G67" s="65"/>
    </row>
    <row r="68" ht="18.0" customHeight="1">
      <c r="A68" s="35"/>
      <c r="B68" s="14"/>
      <c r="C68" s="14"/>
      <c r="D68" s="54"/>
      <c r="E68" s="14"/>
      <c r="F68" s="25"/>
      <c r="G68" s="65"/>
    </row>
    <row r="69" ht="18.0" customHeight="1">
      <c r="A69" s="38"/>
      <c r="B69" s="24"/>
      <c r="C69" s="24"/>
      <c r="D69" s="51"/>
      <c r="E69" s="24"/>
      <c r="F69" s="25"/>
      <c r="G69" s="65"/>
    </row>
    <row r="70" ht="18.0" customHeight="1">
      <c r="A70" s="35"/>
      <c r="B70" s="14"/>
      <c r="C70" s="14"/>
      <c r="D70" s="54"/>
      <c r="E70" s="14"/>
      <c r="F70" s="25"/>
      <c r="G70" s="65"/>
    </row>
    <row r="71" ht="18.0" customHeight="1">
      <c r="A71" s="38"/>
      <c r="B71" s="24"/>
      <c r="C71" s="24"/>
      <c r="D71" s="51"/>
      <c r="E71" s="24"/>
      <c r="F71" s="25"/>
      <c r="G71" s="65"/>
    </row>
    <row r="72" ht="18.0" customHeight="1">
      <c r="A72" s="35"/>
      <c r="B72" s="14"/>
      <c r="C72" s="14"/>
      <c r="D72" s="54"/>
      <c r="E72" s="14"/>
      <c r="F72" s="25"/>
      <c r="G72" s="65"/>
    </row>
    <row r="73" ht="18.0" customHeight="1">
      <c r="A73" s="38"/>
      <c r="B73" s="24"/>
      <c r="C73" s="24"/>
      <c r="D73" s="51"/>
      <c r="E73" s="24"/>
      <c r="F73" s="25"/>
      <c r="G73" s="65"/>
    </row>
    <row r="74" ht="18.0" customHeight="1">
      <c r="A74" s="35"/>
      <c r="B74" s="14"/>
      <c r="C74" s="14"/>
      <c r="D74" s="54"/>
      <c r="E74" s="14"/>
      <c r="F74" s="25"/>
      <c r="G74" s="65"/>
    </row>
    <row r="75" ht="18.0" customHeight="1">
      <c r="A75" s="38"/>
      <c r="B75" s="24"/>
      <c r="C75" s="24"/>
      <c r="D75" s="51"/>
      <c r="E75" s="24"/>
      <c r="F75" s="25"/>
      <c r="G75" s="65"/>
    </row>
    <row r="76" ht="18.0" customHeight="1">
      <c r="A76" s="35"/>
      <c r="B76" s="14"/>
      <c r="C76" s="14"/>
      <c r="D76" s="54"/>
      <c r="E76" s="14"/>
      <c r="F76" s="25"/>
      <c r="G76" s="65"/>
    </row>
    <row r="77" ht="18.0" customHeight="1">
      <c r="A77" s="38"/>
      <c r="B77" s="24"/>
      <c r="C77" s="24"/>
      <c r="D77" s="51"/>
      <c r="E77" s="24"/>
      <c r="F77" s="25"/>
      <c r="G77" s="65"/>
    </row>
    <row r="78" ht="18.0" customHeight="1">
      <c r="A78" s="35"/>
      <c r="B78" s="14"/>
      <c r="C78" s="14"/>
      <c r="D78" s="54"/>
      <c r="E78" s="14"/>
      <c r="F78" s="25"/>
      <c r="G78" s="65"/>
    </row>
    <row r="79" ht="18.0" customHeight="1">
      <c r="A79" s="38"/>
      <c r="B79" s="24"/>
      <c r="C79" s="24"/>
      <c r="D79" s="51"/>
      <c r="E79" s="24"/>
      <c r="F79" s="25"/>
      <c r="G79" s="65"/>
    </row>
    <row r="80" ht="18.0" customHeight="1">
      <c r="A80" s="35"/>
      <c r="B80" s="14"/>
      <c r="C80" s="14"/>
      <c r="D80" s="54"/>
      <c r="E80" s="14"/>
      <c r="F80" s="25"/>
      <c r="G80" s="65"/>
    </row>
    <row r="81" ht="18.0" customHeight="1">
      <c r="A81" s="38"/>
      <c r="B81" s="24"/>
      <c r="C81" s="24"/>
      <c r="D81" s="51"/>
      <c r="E81" s="24"/>
      <c r="F81" s="25"/>
      <c r="G81" s="65"/>
    </row>
    <row r="82" ht="18.0" customHeight="1">
      <c r="A82" s="35"/>
      <c r="B82" s="14"/>
      <c r="C82" s="14"/>
      <c r="D82" s="54"/>
      <c r="E82" s="14"/>
      <c r="F82" s="25"/>
      <c r="G82" s="65"/>
    </row>
    <row r="83" ht="18.0" customHeight="1">
      <c r="A83" s="38"/>
      <c r="B83" s="24"/>
      <c r="C83" s="24"/>
      <c r="D83" s="51"/>
      <c r="E83" s="24"/>
      <c r="F83" s="25"/>
      <c r="G83" s="65"/>
    </row>
    <row r="84" ht="18.0" customHeight="1">
      <c r="A84" s="35"/>
      <c r="B84" s="14"/>
      <c r="C84" s="14"/>
      <c r="D84" s="54"/>
      <c r="E84" s="14"/>
      <c r="F84" s="25"/>
      <c r="G84" s="65"/>
    </row>
    <row r="85" ht="18.0" customHeight="1">
      <c r="A85" s="38"/>
      <c r="B85" s="24"/>
      <c r="C85" s="24"/>
      <c r="D85" s="51"/>
      <c r="E85" s="24"/>
      <c r="F85" s="25"/>
      <c r="G85" s="65"/>
    </row>
    <row r="86" ht="18.0" customHeight="1">
      <c r="A86" s="35"/>
      <c r="B86" s="14"/>
      <c r="C86" s="14"/>
      <c r="D86" s="54"/>
      <c r="E86" s="14"/>
      <c r="F86" s="25"/>
      <c r="G86" s="65"/>
    </row>
    <row r="87" ht="18.0" customHeight="1">
      <c r="A87" s="38"/>
      <c r="B87" s="24"/>
      <c r="C87" s="24"/>
      <c r="D87" s="51"/>
      <c r="E87" s="24"/>
      <c r="F87" s="25"/>
      <c r="G87" s="65"/>
    </row>
    <row r="88" ht="18.0" customHeight="1">
      <c r="A88" s="35"/>
      <c r="B88" s="14"/>
      <c r="C88" s="14"/>
      <c r="D88" s="54"/>
      <c r="E88" s="14"/>
      <c r="F88" s="25"/>
      <c r="G88" s="65"/>
    </row>
    <row r="89" ht="18.0" customHeight="1">
      <c r="A89" s="38"/>
      <c r="B89" s="24"/>
      <c r="C89" s="24"/>
      <c r="D89" s="51"/>
      <c r="E89" s="24"/>
      <c r="F89" s="25"/>
      <c r="G89" s="65"/>
    </row>
    <row r="90" ht="18.0" customHeight="1">
      <c r="A90" s="35"/>
      <c r="B90" s="14"/>
      <c r="C90" s="14"/>
      <c r="D90" s="54"/>
      <c r="E90" s="14"/>
      <c r="F90" s="25"/>
      <c r="G90" s="65"/>
    </row>
    <row r="91" ht="18.0" customHeight="1">
      <c r="A91" s="38"/>
      <c r="B91" s="24"/>
      <c r="C91" s="24"/>
      <c r="D91" s="51"/>
      <c r="E91" s="24"/>
      <c r="F91" s="25"/>
      <c r="G91" s="65"/>
    </row>
    <row r="92" ht="18.0" customHeight="1">
      <c r="A92" s="35"/>
      <c r="B92" s="14"/>
      <c r="C92" s="14"/>
      <c r="D92" s="54"/>
      <c r="E92" s="14"/>
      <c r="F92" s="25"/>
      <c r="G92" s="65"/>
    </row>
    <row r="93" ht="18.0" customHeight="1">
      <c r="A93" s="38"/>
      <c r="B93" s="24"/>
      <c r="C93" s="24"/>
      <c r="D93" s="51"/>
      <c r="E93" s="24"/>
      <c r="F93" s="25"/>
      <c r="G93" s="65"/>
    </row>
    <row r="94" ht="18.0" customHeight="1">
      <c r="A94" s="35"/>
      <c r="B94" s="14"/>
      <c r="C94" s="14"/>
      <c r="D94" s="54"/>
      <c r="E94" s="14"/>
      <c r="F94" s="25"/>
      <c r="G94" s="65"/>
    </row>
    <row r="95" ht="18.0" customHeight="1">
      <c r="A95" s="38"/>
      <c r="B95" s="24"/>
      <c r="C95" s="24"/>
      <c r="D95" s="51"/>
      <c r="E95" s="24"/>
      <c r="F95" s="25"/>
      <c r="G95" s="65"/>
    </row>
    <row r="96" ht="18.0" customHeight="1">
      <c r="A96" s="35"/>
      <c r="B96" s="14"/>
      <c r="C96" s="14"/>
      <c r="D96" s="54"/>
      <c r="E96" s="14"/>
      <c r="F96" s="25"/>
      <c r="G96" s="65"/>
    </row>
    <row r="97" ht="18.0" customHeight="1">
      <c r="A97" s="38"/>
      <c r="B97" s="24"/>
      <c r="C97" s="24"/>
      <c r="D97" s="51"/>
      <c r="E97" s="24"/>
      <c r="F97" s="25"/>
      <c r="G97" s="65"/>
    </row>
    <row r="98" ht="18.0" customHeight="1">
      <c r="A98" s="35"/>
      <c r="B98" s="14"/>
      <c r="C98" s="14"/>
      <c r="D98" s="54"/>
      <c r="E98" s="14"/>
      <c r="F98" s="25"/>
      <c r="G98" s="65"/>
    </row>
    <row r="99" ht="18.0" customHeight="1">
      <c r="A99" s="38"/>
      <c r="B99" s="24"/>
      <c r="C99" s="24"/>
      <c r="D99" s="51"/>
      <c r="E99" s="24"/>
      <c r="F99" s="25"/>
      <c r="G99" s="65"/>
    </row>
    <row r="100" ht="18.0" customHeight="1">
      <c r="A100" s="35"/>
      <c r="B100" s="14"/>
      <c r="C100" s="14"/>
      <c r="D100" s="54"/>
      <c r="E100" s="14"/>
      <c r="F100" s="25"/>
      <c r="G100" s="65"/>
    </row>
    <row r="101" ht="18.0" customHeight="1">
      <c r="A101" s="38"/>
      <c r="B101" s="24"/>
      <c r="C101" s="24"/>
      <c r="D101" s="51"/>
      <c r="E101" s="24"/>
      <c r="F101" s="53"/>
      <c r="G101" s="53"/>
    </row>
    <row r="102" ht="18.0" customHeight="1">
      <c r="A102" s="35"/>
      <c r="B102" s="14"/>
      <c r="C102" s="14"/>
      <c r="D102" s="54"/>
      <c r="E102" s="14"/>
      <c r="F102" s="53"/>
      <c r="G102" s="53"/>
    </row>
    <row r="103" ht="18.0" customHeight="1">
      <c r="A103" s="38"/>
      <c r="B103" s="24"/>
      <c r="C103" s="24"/>
      <c r="D103" s="51"/>
      <c r="E103" s="24"/>
      <c r="F103" s="53"/>
      <c r="G103" s="53"/>
    </row>
    <row r="104" ht="18.0" customHeight="1">
      <c r="A104" s="35"/>
      <c r="B104" s="14"/>
      <c r="C104" s="14"/>
      <c r="D104" s="54"/>
      <c r="E104" s="14"/>
      <c r="F104" s="53"/>
      <c r="G104" s="53"/>
    </row>
    <row r="105" ht="18.0" customHeight="1">
      <c r="A105" s="38"/>
      <c r="B105" s="24"/>
      <c r="C105" s="24"/>
      <c r="D105" s="51"/>
      <c r="E105" s="24"/>
      <c r="F105" s="53"/>
      <c r="G105" s="53"/>
    </row>
    <row r="106" ht="18.0" customHeight="1">
      <c r="A106" s="35"/>
      <c r="B106" s="14"/>
      <c r="C106" s="14"/>
      <c r="D106" s="54"/>
      <c r="E106" s="14"/>
      <c r="F106" s="53"/>
      <c r="G106" s="53"/>
    </row>
    <row r="107" ht="18.0" customHeight="1">
      <c r="A107" s="38"/>
      <c r="B107" s="24"/>
      <c r="C107" s="24"/>
      <c r="D107" s="51"/>
      <c r="E107" s="24"/>
      <c r="F107" s="53"/>
      <c r="G107" s="53"/>
    </row>
    <row r="108" ht="18.0" customHeight="1">
      <c r="A108" s="35"/>
      <c r="B108" s="14"/>
      <c r="C108" s="14"/>
      <c r="D108" s="54"/>
      <c r="E108" s="14"/>
      <c r="F108" s="53"/>
      <c r="G108" s="53"/>
    </row>
    <row r="109" ht="18.0" customHeight="1">
      <c r="A109" s="38"/>
      <c r="B109" s="24"/>
      <c r="C109" s="24"/>
      <c r="D109" s="51"/>
      <c r="E109" s="24"/>
      <c r="F109" s="53"/>
      <c r="G109" s="53"/>
    </row>
    <row r="110" ht="18.0" customHeight="1">
      <c r="A110" s="35"/>
      <c r="B110" s="14"/>
      <c r="C110" s="14"/>
      <c r="D110" s="54"/>
      <c r="E110" s="14"/>
      <c r="F110" s="53"/>
      <c r="G110" s="53"/>
    </row>
    <row r="111" ht="18.0" customHeight="1">
      <c r="A111" s="38"/>
      <c r="B111" s="24"/>
      <c r="C111" s="24"/>
      <c r="D111" s="51"/>
      <c r="E111" s="24"/>
      <c r="F111" s="53"/>
      <c r="G111" s="53"/>
    </row>
    <row r="112" ht="18.0" customHeight="1">
      <c r="A112" s="35"/>
      <c r="B112" s="14"/>
      <c r="C112" s="14"/>
      <c r="D112" s="54"/>
      <c r="E112" s="14"/>
      <c r="F112" s="53"/>
      <c r="G112" s="53"/>
    </row>
    <row r="113" ht="18.0" customHeight="1">
      <c r="A113" s="38"/>
      <c r="B113" s="24"/>
      <c r="C113" s="24"/>
      <c r="D113" s="51"/>
      <c r="E113" s="24"/>
      <c r="F113" s="53"/>
      <c r="G113" s="53"/>
    </row>
    <row r="114" ht="18.0" customHeight="1">
      <c r="A114" s="35"/>
      <c r="B114" s="14"/>
      <c r="C114" s="14"/>
      <c r="D114" s="54"/>
      <c r="E114" s="14"/>
      <c r="F114" s="53"/>
      <c r="G114" s="53"/>
    </row>
    <row r="115" ht="18.0" customHeight="1">
      <c r="A115" s="38"/>
      <c r="B115" s="24"/>
      <c r="C115" s="24"/>
      <c r="D115" s="51"/>
      <c r="E115" s="24"/>
      <c r="F115" s="53"/>
      <c r="G115" s="53"/>
    </row>
    <row r="116" ht="18.0" customHeight="1">
      <c r="A116" s="35"/>
      <c r="B116" s="14"/>
      <c r="C116" s="14"/>
      <c r="D116" s="54"/>
      <c r="E116" s="14"/>
      <c r="F116" s="53"/>
      <c r="G116" s="53"/>
    </row>
    <row r="117" ht="18.0" customHeight="1">
      <c r="A117" s="38"/>
      <c r="B117" s="24"/>
      <c r="C117" s="24"/>
      <c r="D117" s="51"/>
      <c r="E117" s="24"/>
      <c r="F117" s="53"/>
      <c r="G117" s="53"/>
    </row>
    <row r="118" ht="18.0" customHeight="1">
      <c r="A118" s="35"/>
      <c r="B118" s="14"/>
      <c r="C118" s="14"/>
      <c r="D118" s="54"/>
      <c r="E118" s="14"/>
      <c r="F118" s="53"/>
      <c r="G118" s="53"/>
    </row>
    <row r="119" ht="18.0" customHeight="1">
      <c r="A119" s="38"/>
      <c r="B119" s="24"/>
      <c r="C119" s="24"/>
      <c r="D119" s="51"/>
      <c r="E119" s="24"/>
      <c r="F119" s="53"/>
      <c r="G119" s="53"/>
    </row>
    <row r="120" ht="18.0" customHeight="1">
      <c r="A120" s="35"/>
      <c r="B120" s="14"/>
      <c r="C120" s="14"/>
      <c r="D120" s="54"/>
      <c r="E120" s="14"/>
      <c r="F120" s="53"/>
      <c r="G120" s="53"/>
    </row>
    <row r="121" ht="18.0" customHeight="1">
      <c r="A121" s="38"/>
      <c r="B121" s="24"/>
      <c r="C121" s="24"/>
      <c r="D121" s="51"/>
      <c r="E121" s="24"/>
      <c r="F121" s="53"/>
      <c r="G121" s="53"/>
    </row>
    <row r="122" ht="18.0" customHeight="1">
      <c r="A122" s="35"/>
      <c r="B122" s="14"/>
      <c r="C122" s="14"/>
      <c r="D122" s="54"/>
      <c r="E122" s="14"/>
      <c r="F122" s="53"/>
      <c r="G122" s="53"/>
    </row>
    <row r="123" ht="18.0" customHeight="1">
      <c r="A123" s="38"/>
      <c r="B123" s="24"/>
      <c r="C123" s="24"/>
      <c r="D123" s="51"/>
      <c r="E123" s="24"/>
      <c r="F123" s="53"/>
      <c r="G123" s="53"/>
    </row>
    <row r="124" ht="18.0" customHeight="1">
      <c r="A124" s="35"/>
      <c r="B124" s="14"/>
      <c r="C124" s="14"/>
      <c r="D124" s="54"/>
      <c r="E124" s="14"/>
      <c r="F124" s="53"/>
      <c r="G124" s="53"/>
    </row>
    <row r="125" ht="18.0" customHeight="1">
      <c r="A125" s="38"/>
      <c r="B125" s="24"/>
      <c r="C125" s="24"/>
      <c r="D125" s="51"/>
      <c r="E125" s="24"/>
      <c r="F125" s="53"/>
      <c r="G125" s="53"/>
    </row>
    <row r="126" ht="18.0" customHeight="1">
      <c r="A126" s="35"/>
      <c r="B126" s="14"/>
      <c r="C126" s="14"/>
      <c r="D126" s="54"/>
      <c r="E126" s="14"/>
      <c r="F126" s="53"/>
      <c r="G126" s="53"/>
    </row>
    <row r="127" ht="18.0" customHeight="1">
      <c r="A127" s="38"/>
      <c r="B127" s="24"/>
      <c r="C127" s="24"/>
      <c r="D127" s="51"/>
      <c r="E127" s="24"/>
      <c r="F127" s="53"/>
      <c r="G127" s="53"/>
    </row>
    <row r="128" ht="18.0" customHeight="1">
      <c r="A128" s="35"/>
      <c r="B128" s="14"/>
      <c r="C128" s="14"/>
      <c r="D128" s="54"/>
      <c r="E128" s="14"/>
      <c r="F128" s="53"/>
      <c r="G128" s="53"/>
    </row>
    <row r="129" ht="18.0" customHeight="1">
      <c r="A129" s="38"/>
      <c r="B129" s="24"/>
      <c r="C129" s="24"/>
      <c r="D129" s="51"/>
      <c r="E129" s="24"/>
      <c r="F129" s="53"/>
      <c r="G129" s="53"/>
    </row>
    <row r="130" ht="18.0" customHeight="1">
      <c r="A130" s="35"/>
      <c r="B130" s="14"/>
      <c r="C130" s="14"/>
      <c r="D130" s="54"/>
      <c r="E130" s="14"/>
      <c r="F130" s="53"/>
      <c r="G130" s="53"/>
    </row>
    <row r="131" ht="18.0" customHeight="1">
      <c r="A131" s="38"/>
      <c r="B131" s="24"/>
      <c r="C131" s="24"/>
      <c r="D131" s="51"/>
      <c r="E131" s="24"/>
      <c r="F131" s="53"/>
      <c r="G131" s="53"/>
    </row>
    <row r="132" ht="18.0" customHeight="1">
      <c r="A132" s="35"/>
      <c r="B132" s="14"/>
      <c r="C132" s="14"/>
      <c r="D132" s="54"/>
      <c r="E132" s="14"/>
      <c r="F132" s="53"/>
      <c r="G132" s="53"/>
    </row>
    <row r="133" ht="18.0" customHeight="1">
      <c r="A133" s="38"/>
      <c r="B133" s="24"/>
      <c r="C133" s="24"/>
      <c r="D133" s="51"/>
      <c r="E133" s="24"/>
      <c r="F133" s="53"/>
      <c r="G133" s="53"/>
    </row>
    <row r="134" ht="18.0" customHeight="1">
      <c r="A134" s="35"/>
      <c r="B134" s="14"/>
      <c r="C134" s="14"/>
      <c r="D134" s="54"/>
      <c r="E134" s="14"/>
      <c r="F134" s="53"/>
      <c r="G134" s="53"/>
    </row>
    <row r="135" ht="18.0" customHeight="1">
      <c r="A135" s="38"/>
      <c r="B135" s="24"/>
      <c r="C135" s="24"/>
      <c r="D135" s="51"/>
      <c r="E135" s="24"/>
      <c r="F135" s="53"/>
      <c r="G135" s="53"/>
    </row>
    <row r="136" ht="18.0" customHeight="1">
      <c r="A136" s="35"/>
      <c r="B136" s="14"/>
      <c r="C136" s="14"/>
      <c r="D136" s="54"/>
      <c r="E136" s="14"/>
      <c r="F136" s="53"/>
      <c r="G136" s="53"/>
    </row>
    <row r="137" ht="18.0" customHeight="1">
      <c r="A137" s="38"/>
      <c r="B137" s="24"/>
      <c r="C137" s="24"/>
      <c r="D137" s="51"/>
      <c r="E137" s="24"/>
      <c r="F137" s="53"/>
      <c r="G137" s="53"/>
    </row>
    <row r="138" ht="18.0" customHeight="1">
      <c r="A138" s="35"/>
      <c r="B138" s="14"/>
      <c r="C138" s="14"/>
      <c r="D138" s="54"/>
      <c r="E138" s="14"/>
      <c r="F138" s="53"/>
      <c r="G138" s="53"/>
    </row>
    <row r="139" ht="18.0" customHeight="1">
      <c r="A139" s="38"/>
      <c r="B139" s="24"/>
      <c r="C139" s="24"/>
      <c r="D139" s="51"/>
      <c r="E139" s="24"/>
      <c r="F139" s="53"/>
      <c r="G139" s="53"/>
    </row>
    <row r="140" ht="18.0" customHeight="1">
      <c r="A140" s="35"/>
      <c r="B140" s="14"/>
      <c r="C140" s="14"/>
      <c r="D140" s="54"/>
      <c r="E140" s="14"/>
      <c r="F140" s="53"/>
      <c r="G140" s="53"/>
    </row>
    <row r="141" ht="18.0" customHeight="1">
      <c r="A141" s="38"/>
      <c r="B141" s="24"/>
      <c r="C141" s="24"/>
      <c r="D141" s="51"/>
      <c r="E141" s="24"/>
      <c r="F141" s="53"/>
      <c r="G141" s="53"/>
    </row>
    <row r="142" ht="18.0" customHeight="1">
      <c r="A142" s="35"/>
      <c r="B142" s="14"/>
      <c r="C142" s="14"/>
      <c r="D142" s="54"/>
      <c r="E142" s="14"/>
      <c r="F142" s="53"/>
      <c r="G142" s="53"/>
    </row>
    <row r="143" ht="18.0" customHeight="1">
      <c r="A143" s="38"/>
      <c r="B143" s="24"/>
      <c r="C143" s="24"/>
      <c r="D143" s="51"/>
      <c r="E143" s="24"/>
      <c r="F143" s="53"/>
      <c r="G143" s="53"/>
    </row>
    <row r="144" ht="18.0" customHeight="1">
      <c r="A144" s="35"/>
      <c r="B144" s="14"/>
      <c r="C144" s="14"/>
      <c r="D144" s="54"/>
      <c r="E144" s="14"/>
      <c r="F144" s="53"/>
      <c r="G144" s="53"/>
    </row>
    <row r="145" ht="18.0" customHeight="1">
      <c r="A145" s="38"/>
      <c r="B145" s="24"/>
      <c r="C145" s="24"/>
      <c r="D145" s="51"/>
      <c r="E145" s="24"/>
      <c r="F145" s="53"/>
      <c r="G145" s="53"/>
    </row>
    <row r="146" ht="18.0" customHeight="1">
      <c r="A146" s="35"/>
      <c r="B146" s="14"/>
      <c r="C146" s="14"/>
      <c r="D146" s="54"/>
      <c r="E146" s="14"/>
      <c r="F146" s="53"/>
      <c r="G146" s="53"/>
    </row>
    <row r="147" ht="18.0" customHeight="1">
      <c r="A147" s="38"/>
      <c r="B147" s="24"/>
      <c r="C147" s="24"/>
      <c r="D147" s="51"/>
      <c r="E147" s="24"/>
      <c r="F147" s="53"/>
      <c r="G147" s="53"/>
    </row>
    <row r="148" ht="18.0" customHeight="1">
      <c r="A148" s="35"/>
      <c r="B148" s="14"/>
      <c r="C148" s="14"/>
      <c r="D148" s="54"/>
      <c r="E148" s="14"/>
      <c r="F148" s="53"/>
      <c r="G148" s="53"/>
    </row>
    <row r="149" ht="18.0" customHeight="1">
      <c r="A149" s="38"/>
      <c r="B149" s="24"/>
      <c r="C149" s="24"/>
      <c r="D149" s="51"/>
      <c r="E149" s="24"/>
      <c r="F149" s="53"/>
      <c r="G149" s="53"/>
    </row>
    <row r="150" ht="18.0" customHeight="1">
      <c r="A150" s="35"/>
      <c r="B150" s="14"/>
      <c r="C150" s="14"/>
      <c r="D150" s="54"/>
      <c r="E150" s="14"/>
      <c r="F150" s="53"/>
      <c r="G150" s="53"/>
    </row>
    <row r="151" ht="18.0" customHeight="1">
      <c r="A151" s="38"/>
      <c r="B151" s="24"/>
      <c r="C151" s="24"/>
      <c r="D151" s="51"/>
      <c r="E151" s="24"/>
      <c r="F151" s="53"/>
      <c r="G151" s="53"/>
    </row>
    <row r="152" ht="18.0" customHeight="1">
      <c r="A152" s="35"/>
      <c r="B152" s="14"/>
      <c r="C152" s="14"/>
      <c r="D152" s="54"/>
      <c r="E152" s="14"/>
      <c r="F152" s="53"/>
      <c r="G152" s="53"/>
    </row>
    <row r="153" ht="18.0" customHeight="1">
      <c r="A153" s="38"/>
      <c r="B153" s="24"/>
      <c r="C153" s="24"/>
      <c r="D153" s="51"/>
      <c r="E153" s="24"/>
      <c r="F153" s="53"/>
      <c r="G153" s="53"/>
    </row>
    <row r="154" ht="18.0" customHeight="1">
      <c r="A154" s="35"/>
      <c r="B154" s="14"/>
      <c r="C154" s="14"/>
      <c r="D154" s="54"/>
      <c r="E154" s="14"/>
      <c r="F154" s="53"/>
      <c r="G154" s="53"/>
    </row>
    <row r="155" ht="18.0" customHeight="1">
      <c r="A155" s="38"/>
      <c r="B155" s="24"/>
      <c r="C155" s="24"/>
      <c r="D155" s="51"/>
      <c r="E155" s="24"/>
      <c r="F155" s="53"/>
      <c r="G155" s="53"/>
    </row>
    <row r="156" ht="18.0" customHeight="1">
      <c r="A156" s="35"/>
      <c r="B156" s="14"/>
      <c r="C156" s="14"/>
      <c r="D156" s="54"/>
      <c r="E156" s="14"/>
      <c r="F156" s="53"/>
      <c r="G156" s="53"/>
    </row>
    <row r="157" ht="18.0" customHeight="1">
      <c r="A157" s="38"/>
      <c r="B157" s="24"/>
      <c r="C157" s="24"/>
      <c r="D157" s="51"/>
      <c r="E157" s="24"/>
      <c r="F157" s="53"/>
      <c r="G157" s="53"/>
    </row>
    <row r="158" ht="18.0" customHeight="1">
      <c r="A158" s="35"/>
      <c r="B158" s="14"/>
      <c r="C158" s="14"/>
      <c r="D158" s="54"/>
      <c r="E158" s="14"/>
      <c r="F158" s="53"/>
      <c r="G158" s="53"/>
    </row>
    <row r="159" ht="18.0" customHeight="1">
      <c r="A159" s="38"/>
      <c r="B159" s="24"/>
      <c r="C159" s="24"/>
      <c r="D159" s="51"/>
      <c r="E159" s="24"/>
      <c r="F159" s="53"/>
      <c r="G159" s="53"/>
    </row>
    <row r="160" ht="18.0" customHeight="1">
      <c r="A160" s="35"/>
      <c r="B160" s="14"/>
      <c r="C160" s="14"/>
      <c r="D160" s="54"/>
      <c r="E160" s="14"/>
      <c r="F160" s="53"/>
      <c r="G160" s="53"/>
    </row>
    <row r="161" ht="18.0" customHeight="1">
      <c r="A161" s="38"/>
      <c r="B161" s="24"/>
      <c r="C161" s="24"/>
      <c r="D161" s="51"/>
      <c r="E161" s="24"/>
      <c r="F161" s="53"/>
      <c r="G161" s="53"/>
    </row>
    <row r="162" ht="18.0" customHeight="1">
      <c r="A162" s="35"/>
      <c r="B162" s="14"/>
      <c r="C162" s="14"/>
      <c r="D162" s="54"/>
      <c r="E162" s="14"/>
      <c r="F162" s="53"/>
      <c r="G162" s="53"/>
    </row>
    <row r="163" ht="18.0" customHeight="1">
      <c r="A163" s="38"/>
      <c r="B163" s="24"/>
      <c r="C163" s="24"/>
      <c r="D163" s="51"/>
      <c r="E163" s="24"/>
      <c r="F163" s="53"/>
      <c r="G163" s="53"/>
    </row>
    <row r="164" ht="18.0" customHeight="1">
      <c r="A164" s="35"/>
      <c r="B164" s="14"/>
      <c r="C164" s="14"/>
      <c r="D164" s="54"/>
      <c r="E164" s="14"/>
      <c r="F164" s="53"/>
      <c r="G164" s="53"/>
    </row>
    <row r="165" ht="18.0" customHeight="1">
      <c r="A165" s="38"/>
      <c r="B165" s="24"/>
      <c r="C165" s="24"/>
      <c r="D165" s="51"/>
      <c r="E165" s="24"/>
      <c r="F165" s="53"/>
      <c r="G165" s="53"/>
    </row>
    <row r="166" ht="18.0" customHeight="1">
      <c r="A166" s="35"/>
      <c r="B166" s="14"/>
      <c r="C166" s="14"/>
      <c r="D166" s="54"/>
      <c r="E166" s="14"/>
      <c r="F166" s="53"/>
      <c r="G166" s="53"/>
    </row>
    <row r="167" ht="18.0" customHeight="1">
      <c r="A167" s="38"/>
      <c r="B167" s="24"/>
      <c r="C167" s="24"/>
      <c r="D167" s="51"/>
      <c r="E167" s="24"/>
      <c r="F167" s="53"/>
      <c r="G167" s="53"/>
    </row>
    <row r="168" ht="18.0" customHeight="1">
      <c r="A168" s="35"/>
      <c r="B168" s="14"/>
      <c r="C168" s="14"/>
      <c r="D168" s="54"/>
      <c r="E168" s="14"/>
      <c r="F168" s="53"/>
      <c r="G168" s="53"/>
    </row>
    <row r="169" ht="18.0" customHeight="1">
      <c r="A169" s="38"/>
      <c r="B169" s="24"/>
      <c r="C169" s="24"/>
      <c r="D169" s="51"/>
      <c r="E169" s="24"/>
      <c r="F169" s="53"/>
      <c r="G169" s="53"/>
    </row>
    <row r="170" ht="18.0" customHeight="1">
      <c r="A170" s="35"/>
      <c r="B170" s="14"/>
      <c r="C170" s="14"/>
      <c r="D170" s="54"/>
      <c r="E170" s="14"/>
      <c r="F170" s="53"/>
      <c r="G170" s="53"/>
    </row>
    <row r="171" ht="18.0" customHeight="1">
      <c r="A171" s="38"/>
      <c r="B171" s="24"/>
      <c r="C171" s="24"/>
      <c r="D171" s="51"/>
      <c r="E171" s="24"/>
      <c r="F171" s="53"/>
      <c r="G171" s="53"/>
    </row>
    <row r="172" ht="18.0" customHeight="1">
      <c r="A172" s="35"/>
      <c r="B172" s="14"/>
      <c r="C172" s="14"/>
      <c r="D172" s="54"/>
      <c r="E172" s="14"/>
      <c r="F172" s="53"/>
      <c r="G172" s="53"/>
    </row>
    <row r="173" ht="18.0" customHeight="1">
      <c r="A173" s="38"/>
      <c r="B173" s="24"/>
      <c r="C173" s="24"/>
      <c r="D173" s="51"/>
      <c r="E173" s="24"/>
      <c r="F173" s="53"/>
      <c r="G173" s="53"/>
    </row>
    <row r="174" ht="18.0" customHeight="1">
      <c r="A174" s="35"/>
      <c r="B174" s="14"/>
      <c r="C174" s="14"/>
      <c r="D174" s="54"/>
      <c r="E174" s="14"/>
      <c r="F174" s="53"/>
      <c r="G174" s="53"/>
    </row>
    <row r="175" ht="18.0" customHeight="1">
      <c r="A175" s="38"/>
      <c r="B175" s="24"/>
      <c r="C175" s="24"/>
      <c r="D175" s="51"/>
      <c r="E175" s="24"/>
      <c r="F175" s="53"/>
      <c r="G175" s="53"/>
    </row>
    <row r="176" ht="18.0" customHeight="1">
      <c r="A176" s="35"/>
      <c r="B176" s="14"/>
      <c r="C176" s="14"/>
      <c r="D176" s="54"/>
      <c r="E176" s="14"/>
      <c r="F176" s="53"/>
      <c r="G176" s="53"/>
    </row>
    <row r="177" ht="18.0" customHeight="1">
      <c r="A177" s="38"/>
      <c r="B177" s="24"/>
      <c r="C177" s="24"/>
      <c r="D177" s="51"/>
      <c r="E177" s="24"/>
      <c r="F177" s="53"/>
      <c r="G177" s="53"/>
    </row>
    <row r="178" ht="18.0" customHeight="1">
      <c r="A178" s="35"/>
      <c r="B178" s="14"/>
      <c r="C178" s="14"/>
      <c r="D178" s="54"/>
      <c r="E178" s="14"/>
      <c r="F178" s="53"/>
      <c r="G178" s="53"/>
    </row>
    <row r="179" ht="18.0" customHeight="1">
      <c r="A179" s="38"/>
      <c r="B179" s="24"/>
      <c r="C179" s="24"/>
      <c r="D179" s="51"/>
      <c r="E179" s="24"/>
      <c r="F179" s="53"/>
      <c r="G179" s="53"/>
    </row>
    <row r="180" ht="18.0" customHeight="1">
      <c r="A180" s="35"/>
      <c r="B180" s="14"/>
      <c r="C180" s="14"/>
      <c r="D180" s="54"/>
      <c r="E180" s="14"/>
      <c r="F180" s="53"/>
      <c r="G180" s="53"/>
    </row>
    <row r="181" ht="18.0" customHeight="1">
      <c r="A181" s="38"/>
      <c r="B181" s="24"/>
      <c r="C181" s="24"/>
      <c r="D181" s="51"/>
      <c r="E181" s="24"/>
      <c r="F181" s="53"/>
      <c r="G181" s="53"/>
    </row>
    <row r="182" ht="18.0" customHeight="1">
      <c r="A182" s="35"/>
      <c r="B182" s="14"/>
      <c r="C182" s="14"/>
      <c r="D182" s="54"/>
      <c r="E182" s="14"/>
      <c r="F182" s="53"/>
      <c r="G182" s="53"/>
    </row>
    <row r="183" ht="18.0" customHeight="1">
      <c r="A183" s="38"/>
      <c r="B183" s="24"/>
      <c r="C183" s="24"/>
      <c r="D183" s="51"/>
      <c r="E183" s="24"/>
      <c r="F183" s="53"/>
      <c r="G183" s="53"/>
    </row>
    <row r="184" ht="18.0" customHeight="1">
      <c r="A184" s="35"/>
      <c r="B184" s="14"/>
      <c r="C184" s="14"/>
      <c r="D184" s="54"/>
      <c r="E184" s="14"/>
      <c r="F184" s="53"/>
      <c r="G184" s="53"/>
    </row>
    <row r="185" ht="18.0" customHeight="1">
      <c r="A185" s="38"/>
      <c r="B185" s="24"/>
      <c r="C185" s="24"/>
      <c r="D185" s="51"/>
      <c r="E185" s="24"/>
      <c r="F185" s="53"/>
      <c r="G185" s="53"/>
    </row>
    <row r="186" ht="18.0" customHeight="1">
      <c r="A186" s="35"/>
      <c r="B186" s="14"/>
      <c r="C186" s="14"/>
      <c r="D186" s="54"/>
      <c r="E186" s="14"/>
      <c r="F186" s="53"/>
      <c r="G186" s="53"/>
    </row>
    <row r="187" ht="18.0" customHeight="1">
      <c r="A187" s="38"/>
      <c r="B187" s="24"/>
      <c r="C187" s="24"/>
      <c r="D187" s="51"/>
      <c r="E187" s="24"/>
      <c r="F187" s="53"/>
      <c r="G187" s="53"/>
    </row>
    <row r="188" ht="18.0" customHeight="1">
      <c r="A188" s="35"/>
      <c r="B188" s="14"/>
      <c r="C188" s="14"/>
      <c r="D188" s="54"/>
      <c r="E188" s="14"/>
      <c r="F188" s="53"/>
      <c r="G188" s="53"/>
    </row>
    <row r="189" ht="18.0" customHeight="1">
      <c r="A189" s="38"/>
      <c r="B189" s="24"/>
      <c r="C189" s="24"/>
      <c r="D189" s="51"/>
      <c r="E189" s="24"/>
      <c r="F189" s="53"/>
      <c r="G189" s="53"/>
    </row>
    <row r="190" ht="18.0" customHeight="1">
      <c r="A190" s="35"/>
      <c r="B190" s="14"/>
      <c r="C190" s="14"/>
      <c r="D190" s="54"/>
      <c r="E190" s="14"/>
      <c r="F190" s="53"/>
      <c r="G190" s="53"/>
    </row>
    <row r="191" ht="18.0" customHeight="1">
      <c r="A191" s="38"/>
      <c r="B191" s="24"/>
      <c r="C191" s="24"/>
      <c r="D191" s="51"/>
      <c r="E191" s="24"/>
      <c r="F191" s="53"/>
      <c r="G191" s="53"/>
    </row>
    <row r="192" ht="18.0" customHeight="1">
      <c r="A192" s="35"/>
      <c r="B192" s="14"/>
      <c r="C192" s="14"/>
      <c r="D192" s="54"/>
      <c r="E192" s="14"/>
      <c r="F192" s="53"/>
      <c r="G192" s="53"/>
    </row>
    <row r="193" ht="18.0" customHeight="1">
      <c r="A193" s="38"/>
      <c r="B193" s="24"/>
      <c r="C193" s="24"/>
      <c r="D193" s="51"/>
      <c r="E193" s="24"/>
      <c r="F193" s="53"/>
      <c r="G193" s="53"/>
    </row>
    <row r="194" ht="18.0" customHeight="1">
      <c r="A194" s="35"/>
      <c r="B194" s="14"/>
      <c r="C194" s="14"/>
      <c r="D194" s="54"/>
      <c r="E194" s="14"/>
      <c r="F194" s="53"/>
      <c r="G194" s="53"/>
    </row>
    <row r="195" ht="18.0" customHeight="1">
      <c r="A195" s="38"/>
      <c r="B195" s="24"/>
      <c r="C195" s="24"/>
      <c r="D195" s="51"/>
      <c r="E195" s="24"/>
      <c r="F195" s="53"/>
      <c r="G195" s="53"/>
    </row>
    <row r="196" ht="18.0" customHeight="1">
      <c r="A196" s="35"/>
      <c r="B196" s="14"/>
      <c r="C196" s="14"/>
      <c r="D196" s="54"/>
      <c r="E196" s="14"/>
      <c r="F196" s="53"/>
      <c r="G196" s="53"/>
    </row>
    <row r="197" ht="18.0" customHeight="1">
      <c r="A197" s="38"/>
      <c r="B197" s="24"/>
      <c r="C197" s="24"/>
      <c r="D197" s="51"/>
      <c r="E197" s="24"/>
      <c r="F197" s="53"/>
      <c r="G197" s="53"/>
    </row>
    <row r="198" ht="18.0" customHeight="1">
      <c r="A198" s="35"/>
      <c r="B198" s="14"/>
      <c r="C198" s="14"/>
      <c r="D198" s="54"/>
      <c r="E198" s="14"/>
      <c r="F198" s="53"/>
      <c r="G198" s="53"/>
    </row>
    <row r="199" ht="18.0" customHeight="1">
      <c r="A199" s="38"/>
      <c r="B199" s="24"/>
      <c r="C199" s="24"/>
      <c r="D199" s="51"/>
      <c r="E199" s="24"/>
      <c r="F199" s="53"/>
      <c r="G199" s="53"/>
    </row>
    <row r="200" ht="18.0" customHeight="1">
      <c r="A200" s="35"/>
      <c r="B200" s="14"/>
      <c r="C200" s="14"/>
      <c r="D200" s="54"/>
      <c r="E200" s="14"/>
      <c r="F200" s="53"/>
      <c r="G200" s="53"/>
    </row>
    <row r="201" ht="18.0" customHeight="1">
      <c r="A201" s="38"/>
      <c r="B201" s="24"/>
      <c r="C201" s="24"/>
      <c r="D201" s="51"/>
      <c r="E201" s="24"/>
      <c r="F201" s="53"/>
      <c r="G201" s="53"/>
    </row>
    <row r="202" ht="18.0" customHeight="1">
      <c r="A202" s="35"/>
      <c r="B202" s="14"/>
      <c r="C202" s="14"/>
      <c r="D202" s="54"/>
      <c r="E202" s="14"/>
      <c r="F202" s="53"/>
      <c r="G202" s="53"/>
    </row>
    <row r="203" ht="18.0" customHeight="1">
      <c r="A203" s="38"/>
      <c r="B203" s="24"/>
      <c r="C203" s="24"/>
      <c r="D203" s="51"/>
      <c r="E203" s="24"/>
      <c r="F203" s="53"/>
      <c r="G203" s="53"/>
    </row>
    <row r="204" ht="18.0" customHeight="1">
      <c r="A204" s="35"/>
      <c r="B204" s="14"/>
      <c r="C204" s="14"/>
      <c r="D204" s="54"/>
      <c r="E204" s="14"/>
      <c r="F204" s="53"/>
      <c r="G204" s="53"/>
    </row>
    <row r="205" ht="18.0" customHeight="1">
      <c r="A205" s="38"/>
      <c r="B205" s="24"/>
      <c r="C205" s="24"/>
      <c r="D205" s="51"/>
      <c r="E205" s="24"/>
      <c r="F205" s="53"/>
      <c r="G205" s="53"/>
    </row>
    <row r="206" ht="18.0" customHeight="1">
      <c r="A206" s="35"/>
      <c r="B206" s="14"/>
      <c r="C206" s="14"/>
      <c r="D206" s="54"/>
      <c r="E206" s="14"/>
      <c r="F206" s="53"/>
      <c r="G206" s="53"/>
    </row>
    <row r="207" ht="18.0" customHeight="1">
      <c r="A207" s="38"/>
      <c r="B207" s="24"/>
      <c r="C207" s="24"/>
      <c r="D207" s="51"/>
      <c r="E207" s="24"/>
      <c r="F207" s="53"/>
      <c r="G207" s="53"/>
    </row>
    <row r="208" ht="18.0" customHeight="1">
      <c r="A208" s="35"/>
      <c r="B208" s="14"/>
      <c r="C208" s="14"/>
      <c r="D208" s="54"/>
      <c r="E208" s="14"/>
      <c r="F208" s="53"/>
      <c r="G208" s="53"/>
    </row>
    <row r="209" ht="18.0" customHeight="1">
      <c r="A209" s="38"/>
      <c r="B209" s="24"/>
      <c r="C209" s="24"/>
      <c r="D209" s="51"/>
      <c r="E209" s="24"/>
      <c r="F209" s="53"/>
      <c r="G209" s="53"/>
    </row>
    <row r="210" ht="18.0" customHeight="1">
      <c r="A210" s="35"/>
      <c r="B210" s="14"/>
      <c r="C210" s="14"/>
      <c r="D210" s="54"/>
      <c r="E210" s="14"/>
      <c r="F210" s="53"/>
      <c r="G210" s="53"/>
    </row>
    <row r="211" ht="18.0" customHeight="1">
      <c r="A211" s="38"/>
      <c r="B211" s="24"/>
      <c r="C211" s="24"/>
      <c r="D211" s="51"/>
      <c r="E211" s="24"/>
      <c r="F211" s="53"/>
      <c r="G211" s="53"/>
    </row>
    <row r="212" ht="18.0" customHeight="1">
      <c r="A212" s="35"/>
      <c r="B212" s="14"/>
      <c r="C212" s="14"/>
      <c r="D212" s="54"/>
      <c r="E212" s="14"/>
      <c r="F212" s="53"/>
      <c r="G212" s="53"/>
    </row>
    <row r="213" ht="18.0" customHeight="1">
      <c r="A213" s="38"/>
      <c r="B213" s="24"/>
      <c r="C213" s="24"/>
      <c r="D213" s="51"/>
      <c r="E213" s="24"/>
      <c r="F213" s="53"/>
      <c r="G213" s="53"/>
    </row>
    <row r="214" ht="18.0" customHeight="1">
      <c r="A214" s="35"/>
      <c r="B214" s="14"/>
      <c r="C214" s="14"/>
      <c r="D214" s="54"/>
      <c r="E214" s="14"/>
      <c r="F214" s="53"/>
      <c r="G214" s="53"/>
    </row>
    <row r="215" ht="18.0" customHeight="1">
      <c r="A215" s="38"/>
      <c r="B215" s="24"/>
      <c r="C215" s="24"/>
      <c r="D215" s="51"/>
      <c r="E215" s="24"/>
      <c r="F215" s="53"/>
      <c r="G215" s="53"/>
    </row>
    <row r="216" ht="18.0" customHeight="1">
      <c r="A216" s="35"/>
      <c r="B216" s="14"/>
      <c r="C216" s="14"/>
      <c r="D216" s="54"/>
      <c r="E216" s="14"/>
      <c r="F216" s="53"/>
      <c r="G216" s="53"/>
    </row>
    <row r="217" ht="18.0" customHeight="1">
      <c r="A217" s="38"/>
      <c r="B217" s="24"/>
      <c r="C217" s="24"/>
      <c r="D217" s="51"/>
      <c r="E217" s="24"/>
      <c r="F217" s="53"/>
      <c r="G217" s="53"/>
    </row>
    <row r="218" ht="18.0" customHeight="1">
      <c r="A218" s="35"/>
      <c r="B218" s="14"/>
      <c r="C218" s="14"/>
      <c r="D218" s="54"/>
      <c r="E218" s="14"/>
      <c r="F218" s="53"/>
      <c r="G218" s="53"/>
    </row>
    <row r="219" ht="18.0" customHeight="1">
      <c r="A219" s="38"/>
      <c r="B219" s="24"/>
      <c r="C219" s="24"/>
      <c r="D219" s="51"/>
      <c r="E219" s="24"/>
      <c r="F219" s="53"/>
      <c r="G219" s="53"/>
    </row>
    <row r="220" ht="18.0" customHeight="1">
      <c r="A220" s="35"/>
      <c r="B220" s="14"/>
      <c r="C220" s="14"/>
      <c r="D220" s="54"/>
      <c r="E220" s="14"/>
      <c r="F220" s="53"/>
      <c r="G220" s="5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2:D1000">
    <cfRule type="cellIs" dxfId="0" priority="1" operator="greaterThanOrEqual">
      <formula>8</formula>
    </cfRule>
  </conditionalFormatting>
  <conditionalFormatting sqref="D2:D1000">
    <cfRule type="cellIs" dxfId="1" priority="2" operator="between">
      <formula>7</formula>
      <formula>7.99</formula>
    </cfRule>
  </conditionalFormatting>
  <conditionalFormatting sqref="D2:D1000">
    <cfRule type="cellIs" dxfId="2" priority="3" operator="lessThan">
      <formula>7</formula>
    </cfRule>
  </conditionalFormatting>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0B981"/>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3.0"/>
    <col customWidth="1" min="2" max="2" width="30.0"/>
    <col customWidth="1" min="3" max="3" width="8.0"/>
    <col customWidth="1" min="4" max="4" width="37.0"/>
    <col customWidth="1" min="5" max="5" width="14.0"/>
    <col customWidth="1" min="6" max="6" width="8.0"/>
  </cols>
  <sheetData>
    <row r="1" ht="18.0" customHeight="1">
      <c r="A1" s="2" t="s">
        <v>0</v>
      </c>
      <c r="B1" s="2" t="s">
        <v>211</v>
      </c>
      <c r="C1" s="2" t="s">
        <v>2</v>
      </c>
      <c r="D1" s="2" t="s">
        <v>9</v>
      </c>
      <c r="E1" s="61" t="s">
        <v>10</v>
      </c>
      <c r="F1" s="62">
        <f>COUNTA(A:A)-1</f>
        <v>3</v>
      </c>
    </row>
    <row r="2" ht="18.0" customHeight="1">
      <c r="A2" s="12">
        <v>45982.0</v>
      </c>
      <c r="B2" s="14" t="s">
        <v>213</v>
      </c>
      <c r="C2" s="15">
        <v>9.0</v>
      </c>
      <c r="D2" s="14"/>
      <c r="E2" s="64" t="s">
        <v>28</v>
      </c>
      <c r="F2" s="18">
        <f>IFERROR(ROUND(AVERAGE(C2:C10000),1),"—")</f>
        <v>8.5</v>
      </c>
    </row>
    <row r="3" ht="18.0" customHeight="1">
      <c r="A3" s="20">
        <v>46144.0</v>
      </c>
      <c r="B3" s="24" t="s">
        <v>216</v>
      </c>
      <c r="C3" s="52">
        <v>8.5</v>
      </c>
      <c r="D3" s="24"/>
      <c r="E3" s="25"/>
      <c r="F3" s="65"/>
    </row>
    <row r="4" ht="75.75" customHeight="1">
      <c r="A4" s="45">
        <v>46212.0</v>
      </c>
      <c r="B4" s="36" t="s">
        <v>218</v>
      </c>
      <c r="C4" s="46">
        <v>8.0</v>
      </c>
      <c r="D4" s="48" t="s">
        <v>220</v>
      </c>
      <c r="E4" s="25"/>
      <c r="F4" s="65"/>
    </row>
    <row r="5" ht="18.0" customHeight="1">
      <c r="A5" s="38"/>
      <c r="B5" s="24"/>
      <c r="C5" s="39"/>
      <c r="D5" s="24"/>
      <c r="E5" s="25"/>
      <c r="F5" s="65"/>
    </row>
    <row r="6" ht="18.0" customHeight="1">
      <c r="A6" s="35"/>
      <c r="B6" s="14"/>
      <c r="C6" s="37"/>
      <c r="D6" s="14"/>
      <c r="E6" s="25"/>
      <c r="F6" s="65"/>
    </row>
    <row r="7" ht="18.0" customHeight="1">
      <c r="A7" s="38"/>
      <c r="B7" s="24"/>
      <c r="C7" s="39"/>
      <c r="D7" s="24"/>
      <c r="E7" s="25"/>
      <c r="F7" s="65"/>
    </row>
    <row r="8" ht="18.0" customHeight="1">
      <c r="A8" s="35"/>
      <c r="B8" s="14"/>
      <c r="C8" s="37"/>
      <c r="D8" s="14"/>
      <c r="E8" s="25"/>
      <c r="F8" s="65"/>
    </row>
    <row r="9" ht="18.0" customHeight="1">
      <c r="A9" s="38"/>
      <c r="B9" s="24"/>
      <c r="C9" s="39"/>
      <c r="D9" s="24"/>
      <c r="E9" s="25"/>
      <c r="F9" s="65"/>
    </row>
    <row r="10" ht="18.0" customHeight="1">
      <c r="A10" s="35"/>
      <c r="B10" s="14"/>
      <c r="C10" s="37"/>
      <c r="D10" s="14"/>
      <c r="E10" s="25"/>
      <c r="F10" s="65"/>
    </row>
    <row r="11" ht="18.0" customHeight="1">
      <c r="A11" s="38"/>
      <c r="B11" s="24"/>
      <c r="C11" s="39"/>
      <c r="D11" s="24"/>
      <c r="E11" s="25"/>
      <c r="F11" s="65"/>
    </row>
    <row r="12" ht="18.0" customHeight="1">
      <c r="A12" s="35"/>
      <c r="B12" s="14"/>
      <c r="C12" s="37"/>
      <c r="D12" s="14"/>
      <c r="E12" s="25"/>
      <c r="F12" s="65"/>
    </row>
    <row r="13" ht="18.0" customHeight="1">
      <c r="A13" s="38"/>
      <c r="B13" s="24"/>
      <c r="C13" s="39"/>
      <c r="D13" s="24"/>
      <c r="E13" s="25"/>
      <c r="F13" s="65"/>
    </row>
    <row r="14" ht="18.0" customHeight="1">
      <c r="A14" s="35"/>
      <c r="B14" s="14"/>
      <c r="C14" s="37"/>
      <c r="D14" s="14"/>
      <c r="E14" s="25"/>
      <c r="F14" s="65"/>
    </row>
    <row r="15" ht="18.0" customHeight="1">
      <c r="A15" s="38"/>
      <c r="B15" s="24"/>
      <c r="C15" s="39"/>
      <c r="D15" s="24"/>
      <c r="E15" s="25"/>
      <c r="F15" s="65"/>
    </row>
    <row r="16" ht="18.0" customHeight="1">
      <c r="A16" s="35"/>
      <c r="B16" s="14"/>
      <c r="C16" s="37"/>
      <c r="D16" s="14"/>
      <c r="E16" s="25"/>
      <c r="F16" s="65"/>
    </row>
    <row r="17" ht="18.0" customHeight="1">
      <c r="A17" s="38"/>
      <c r="B17" s="24"/>
      <c r="C17" s="39"/>
      <c r="D17" s="24"/>
      <c r="E17" s="25"/>
      <c r="F17" s="65"/>
    </row>
    <row r="18" ht="18.0" customHeight="1">
      <c r="A18" s="35"/>
      <c r="B18" s="14"/>
      <c r="C18" s="37"/>
      <c r="D18" s="14"/>
      <c r="E18" s="25"/>
      <c r="F18" s="65"/>
    </row>
    <row r="19" ht="18.0" customHeight="1">
      <c r="A19" s="38"/>
      <c r="B19" s="24"/>
      <c r="C19" s="39"/>
      <c r="D19" s="24"/>
      <c r="E19" s="25"/>
      <c r="F19" s="65"/>
    </row>
    <row r="20" ht="18.0" customHeight="1">
      <c r="A20" s="35"/>
      <c r="B20" s="14"/>
      <c r="C20" s="37"/>
      <c r="D20" s="14"/>
      <c r="E20" s="25"/>
      <c r="F20" s="65"/>
    </row>
    <row r="21" ht="18.0" customHeight="1">
      <c r="A21" s="38"/>
      <c r="B21" s="24"/>
      <c r="C21" s="39"/>
      <c r="D21" s="24"/>
      <c r="E21" s="25"/>
      <c r="F21" s="65"/>
    </row>
    <row r="22" ht="18.0" customHeight="1">
      <c r="A22" s="35"/>
      <c r="B22" s="14"/>
      <c r="C22" s="37"/>
      <c r="D22" s="14"/>
      <c r="E22" s="25"/>
      <c r="F22" s="65"/>
    </row>
    <row r="23" ht="18.0" customHeight="1">
      <c r="A23" s="38"/>
      <c r="B23" s="24"/>
      <c r="C23" s="39"/>
      <c r="D23" s="24"/>
      <c r="E23" s="25"/>
      <c r="F23" s="65"/>
    </row>
    <row r="24" ht="18.0" customHeight="1">
      <c r="A24" s="35"/>
      <c r="B24" s="14"/>
      <c r="C24" s="37"/>
      <c r="D24" s="14"/>
      <c r="E24" s="25"/>
      <c r="F24" s="65"/>
    </row>
    <row r="25" ht="18.0" customHeight="1">
      <c r="A25" s="38"/>
      <c r="B25" s="24"/>
      <c r="C25" s="39"/>
      <c r="D25" s="24"/>
      <c r="E25" s="25"/>
      <c r="F25" s="65"/>
    </row>
    <row r="26" ht="18.0" customHeight="1">
      <c r="A26" s="35"/>
      <c r="B26" s="14"/>
      <c r="C26" s="37"/>
      <c r="D26" s="14"/>
      <c r="E26" s="25"/>
      <c r="F26" s="65"/>
    </row>
    <row r="27" ht="18.0" customHeight="1">
      <c r="A27" s="38"/>
      <c r="B27" s="24"/>
      <c r="C27" s="39"/>
      <c r="D27" s="24"/>
      <c r="E27" s="25"/>
      <c r="F27" s="65"/>
    </row>
    <row r="28" ht="18.0" customHeight="1">
      <c r="A28" s="35"/>
      <c r="B28" s="14"/>
      <c r="C28" s="37"/>
      <c r="D28" s="14"/>
      <c r="E28" s="25"/>
      <c r="F28" s="65"/>
    </row>
    <row r="29" ht="18.0" customHeight="1">
      <c r="A29" s="38"/>
      <c r="B29" s="24"/>
      <c r="C29" s="39"/>
      <c r="D29" s="24"/>
      <c r="E29" s="25"/>
      <c r="F29" s="65"/>
    </row>
    <row r="30" ht="18.0" customHeight="1">
      <c r="A30" s="35"/>
      <c r="B30" s="14"/>
      <c r="C30" s="37"/>
      <c r="D30" s="14"/>
      <c r="E30" s="25"/>
      <c r="F30" s="65"/>
    </row>
    <row r="31" ht="18.0" customHeight="1">
      <c r="A31" s="38"/>
      <c r="B31" s="24"/>
      <c r="C31" s="39"/>
      <c r="D31" s="24"/>
      <c r="E31" s="25"/>
      <c r="F31" s="65"/>
    </row>
    <row r="32" ht="18.0" customHeight="1">
      <c r="A32" s="35"/>
      <c r="B32" s="14"/>
      <c r="C32" s="37"/>
      <c r="D32" s="14"/>
      <c r="E32" s="25"/>
      <c r="F32" s="65"/>
    </row>
    <row r="33" ht="18.0" customHeight="1">
      <c r="A33" s="38"/>
      <c r="B33" s="24"/>
      <c r="C33" s="39"/>
      <c r="D33" s="24"/>
      <c r="E33" s="25"/>
      <c r="F33" s="65"/>
    </row>
    <row r="34" ht="18.0" customHeight="1">
      <c r="A34" s="35"/>
      <c r="B34" s="14"/>
      <c r="C34" s="37"/>
      <c r="D34" s="14"/>
      <c r="E34" s="25"/>
      <c r="F34" s="65"/>
    </row>
    <row r="35" ht="18.0" customHeight="1">
      <c r="A35" s="38"/>
      <c r="B35" s="24"/>
      <c r="C35" s="39"/>
      <c r="D35" s="24"/>
      <c r="E35" s="25"/>
      <c r="F35" s="65"/>
    </row>
    <row r="36" ht="18.0" customHeight="1">
      <c r="A36" s="35"/>
      <c r="B36" s="14"/>
      <c r="C36" s="37"/>
      <c r="D36" s="14"/>
      <c r="E36" s="25"/>
      <c r="F36" s="65"/>
    </row>
    <row r="37" ht="18.0" customHeight="1">
      <c r="A37" s="38"/>
      <c r="B37" s="24"/>
      <c r="C37" s="39"/>
      <c r="D37" s="24"/>
      <c r="E37" s="25"/>
      <c r="F37" s="65"/>
    </row>
    <row r="38" ht="18.0" customHeight="1">
      <c r="A38" s="35"/>
      <c r="B38" s="14"/>
      <c r="C38" s="37"/>
      <c r="D38" s="14"/>
      <c r="E38" s="25"/>
      <c r="F38" s="65"/>
    </row>
    <row r="39" ht="18.0" customHeight="1">
      <c r="A39" s="38"/>
      <c r="B39" s="24"/>
      <c r="C39" s="39"/>
      <c r="D39" s="24"/>
      <c r="E39" s="25"/>
      <c r="F39" s="65"/>
    </row>
    <row r="40" ht="18.0" customHeight="1">
      <c r="A40" s="35"/>
      <c r="B40" s="14"/>
      <c r="C40" s="37"/>
      <c r="D40" s="14"/>
      <c r="E40" s="25"/>
      <c r="F40" s="65"/>
    </row>
    <row r="41" ht="18.0" customHeight="1">
      <c r="A41" s="38"/>
      <c r="B41" s="24"/>
      <c r="C41" s="39"/>
      <c r="D41" s="24"/>
      <c r="E41" s="25"/>
      <c r="F41" s="65"/>
    </row>
    <row r="42" ht="18.0" customHeight="1">
      <c r="A42" s="35"/>
      <c r="B42" s="14"/>
      <c r="C42" s="37"/>
      <c r="D42" s="14"/>
      <c r="E42" s="25"/>
      <c r="F42" s="65"/>
    </row>
    <row r="43" ht="18.0" customHeight="1">
      <c r="A43" s="38"/>
      <c r="B43" s="24"/>
      <c r="C43" s="39"/>
      <c r="D43" s="24"/>
      <c r="E43" s="25"/>
      <c r="F43" s="65"/>
    </row>
    <row r="44" ht="18.0" customHeight="1">
      <c r="A44" s="35"/>
      <c r="B44" s="14"/>
      <c r="C44" s="37"/>
      <c r="D44" s="14"/>
      <c r="E44" s="25"/>
      <c r="F44" s="65"/>
    </row>
    <row r="45" ht="18.0" customHeight="1">
      <c r="A45" s="38"/>
      <c r="B45" s="24"/>
      <c r="C45" s="39"/>
      <c r="D45" s="24"/>
      <c r="E45" s="25"/>
      <c r="F45" s="65"/>
    </row>
    <row r="46" ht="18.0" customHeight="1">
      <c r="A46" s="35"/>
      <c r="B46" s="14"/>
      <c r="C46" s="37"/>
      <c r="D46" s="14"/>
      <c r="E46" s="25"/>
      <c r="F46" s="65"/>
    </row>
    <row r="47" ht="18.0" customHeight="1">
      <c r="A47" s="38"/>
      <c r="B47" s="24"/>
      <c r="C47" s="39"/>
      <c r="D47" s="24"/>
      <c r="E47" s="25"/>
      <c r="F47" s="65"/>
    </row>
    <row r="48" ht="18.0" customHeight="1">
      <c r="A48" s="35"/>
      <c r="B48" s="14"/>
      <c r="C48" s="37"/>
      <c r="D48" s="14"/>
      <c r="E48" s="25"/>
      <c r="F48" s="65"/>
    </row>
    <row r="49" ht="18.0" customHeight="1">
      <c r="A49" s="38"/>
      <c r="B49" s="24"/>
      <c r="C49" s="39"/>
      <c r="D49" s="24"/>
      <c r="E49" s="25"/>
      <c r="F49" s="65"/>
    </row>
    <row r="50" ht="18.0" customHeight="1">
      <c r="A50" s="35"/>
      <c r="B50" s="14"/>
      <c r="C50" s="37"/>
      <c r="D50" s="14"/>
      <c r="E50" s="25"/>
      <c r="F50" s="65"/>
    </row>
    <row r="51" ht="18.0" customHeight="1">
      <c r="A51" s="38"/>
      <c r="B51" s="24"/>
      <c r="C51" s="39"/>
      <c r="D51" s="24"/>
      <c r="E51" s="25"/>
      <c r="F51" s="65"/>
    </row>
    <row r="52" ht="18.0" customHeight="1">
      <c r="A52" s="35"/>
      <c r="B52" s="14"/>
      <c r="C52" s="37"/>
      <c r="D52" s="14"/>
      <c r="E52" s="25"/>
      <c r="F52" s="65"/>
    </row>
    <row r="53" ht="18.0" customHeight="1">
      <c r="A53" s="38"/>
      <c r="B53" s="24"/>
      <c r="C53" s="39"/>
      <c r="D53" s="24"/>
      <c r="E53" s="25"/>
      <c r="F53" s="65"/>
    </row>
    <row r="54" ht="18.0" customHeight="1">
      <c r="A54" s="35"/>
      <c r="B54" s="14"/>
      <c r="C54" s="37"/>
      <c r="D54" s="14"/>
      <c r="E54" s="25"/>
      <c r="F54" s="65"/>
    </row>
    <row r="55" ht="18.0" customHeight="1">
      <c r="A55" s="38"/>
      <c r="B55" s="24"/>
      <c r="C55" s="39"/>
      <c r="D55" s="24"/>
      <c r="E55" s="25"/>
      <c r="F55" s="65"/>
    </row>
    <row r="56" ht="18.0" customHeight="1">
      <c r="A56" s="35"/>
      <c r="B56" s="14"/>
      <c r="C56" s="37"/>
      <c r="D56" s="14"/>
      <c r="E56" s="25"/>
      <c r="F56" s="65"/>
    </row>
    <row r="57" ht="18.0" customHeight="1">
      <c r="A57" s="38"/>
      <c r="B57" s="24"/>
      <c r="C57" s="39"/>
      <c r="D57" s="24"/>
      <c r="E57" s="25"/>
      <c r="F57" s="65"/>
    </row>
    <row r="58" ht="18.0" customHeight="1">
      <c r="A58" s="35"/>
      <c r="B58" s="14"/>
      <c r="C58" s="37"/>
      <c r="D58" s="14"/>
      <c r="E58" s="25"/>
      <c r="F58" s="65"/>
    </row>
    <row r="59" ht="18.0" customHeight="1">
      <c r="A59" s="38"/>
      <c r="B59" s="24"/>
      <c r="C59" s="39"/>
      <c r="D59" s="24"/>
      <c r="E59" s="25"/>
      <c r="F59" s="65"/>
    </row>
    <row r="60" ht="18.0" customHeight="1">
      <c r="A60" s="35"/>
      <c r="B60" s="14"/>
      <c r="C60" s="37"/>
      <c r="D60" s="14"/>
      <c r="E60" s="25"/>
      <c r="F60" s="65"/>
    </row>
    <row r="61" ht="18.0" customHeight="1">
      <c r="A61" s="38"/>
      <c r="B61" s="24"/>
      <c r="C61" s="39"/>
      <c r="D61" s="24"/>
      <c r="E61" s="25"/>
      <c r="F61" s="65"/>
    </row>
    <row r="62" ht="18.0" customHeight="1">
      <c r="A62" s="35"/>
      <c r="B62" s="14"/>
      <c r="C62" s="37"/>
      <c r="D62" s="14"/>
      <c r="E62" s="25"/>
      <c r="F62" s="65"/>
    </row>
    <row r="63" ht="18.0" customHeight="1">
      <c r="A63" s="38"/>
      <c r="B63" s="24"/>
      <c r="C63" s="39"/>
      <c r="D63" s="24"/>
      <c r="E63" s="25"/>
      <c r="F63" s="65"/>
    </row>
    <row r="64" ht="18.0" customHeight="1">
      <c r="A64" s="35"/>
      <c r="B64" s="14"/>
      <c r="C64" s="37"/>
      <c r="D64" s="14"/>
      <c r="E64" s="25"/>
      <c r="F64" s="65"/>
    </row>
    <row r="65" ht="18.0" customHeight="1">
      <c r="A65" s="38"/>
      <c r="B65" s="24"/>
      <c r="C65" s="39"/>
      <c r="D65" s="24"/>
      <c r="E65" s="25"/>
      <c r="F65" s="65"/>
    </row>
    <row r="66" ht="18.0" customHeight="1">
      <c r="A66" s="35"/>
      <c r="B66" s="14"/>
      <c r="C66" s="37"/>
      <c r="D66" s="14"/>
      <c r="E66" s="25"/>
      <c r="F66" s="65"/>
    </row>
    <row r="67" ht="18.0" customHeight="1">
      <c r="A67" s="38"/>
      <c r="B67" s="24"/>
      <c r="C67" s="39"/>
      <c r="D67" s="24"/>
      <c r="E67" s="25"/>
      <c r="F67" s="65"/>
    </row>
    <row r="68" ht="18.0" customHeight="1">
      <c r="A68" s="35"/>
      <c r="B68" s="14"/>
      <c r="C68" s="37"/>
      <c r="D68" s="14"/>
      <c r="E68" s="25"/>
      <c r="F68" s="65"/>
    </row>
    <row r="69" ht="18.0" customHeight="1">
      <c r="A69" s="38"/>
      <c r="B69" s="24"/>
      <c r="C69" s="39"/>
      <c r="D69" s="24"/>
      <c r="E69" s="25"/>
      <c r="F69" s="65"/>
    </row>
    <row r="70" ht="18.0" customHeight="1">
      <c r="A70" s="35"/>
      <c r="B70" s="14"/>
      <c r="C70" s="37"/>
      <c r="D70" s="14"/>
      <c r="E70" s="25"/>
      <c r="F70" s="65"/>
    </row>
    <row r="71" ht="18.0" customHeight="1">
      <c r="A71" s="38"/>
      <c r="B71" s="24"/>
      <c r="C71" s="39"/>
      <c r="D71" s="24"/>
      <c r="E71" s="25"/>
      <c r="F71" s="65"/>
    </row>
    <row r="72" ht="18.0" customHeight="1">
      <c r="A72" s="35"/>
      <c r="B72" s="14"/>
      <c r="C72" s="37"/>
      <c r="D72" s="14"/>
      <c r="E72" s="25"/>
      <c r="F72" s="65"/>
    </row>
    <row r="73" ht="18.0" customHeight="1">
      <c r="A73" s="38"/>
      <c r="B73" s="24"/>
      <c r="C73" s="39"/>
      <c r="D73" s="24"/>
      <c r="E73" s="25"/>
      <c r="F73" s="65"/>
    </row>
    <row r="74" ht="18.0" customHeight="1">
      <c r="A74" s="35"/>
      <c r="B74" s="14"/>
      <c r="C74" s="37"/>
      <c r="D74" s="14"/>
      <c r="E74" s="25"/>
      <c r="F74" s="65"/>
    </row>
    <row r="75" ht="18.0" customHeight="1">
      <c r="A75" s="38"/>
      <c r="B75" s="24"/>
      <c r="C75" s="39"/>
      <c r="D75" s="24"/>
      <c r="E75" s="25"/>
      <c r="F75" s="65"/>
    </row>
    <row r="76" ht="18.0" customHeight="1">
      <c r="A76" s="35"/>
      <c r="B76" s="14"/>
      <c r="C76" s="37"/>
      <c r="D76" s="14"/>
      <c r="E76" s="25"/>
      <c r="F76" s="65"/>
    </row>
    <row r="77" ht="18.0" customHeight="1">
      <c r="A77" s="38"/>
      <c r="B77" s="24"/>
      <c r="C77" s="39"/>
      <c r="D77" s="24"/>
      <c r="E77" s="25"/>
      <c r="F77" s="65"/>
    </row>
    <row r="78" ht="18.0" customHeight="1">
      <c r="A78" s="35"/>
      <c r="B78" s="14"/>
      <c r="C78" s="37"/>
      <c r="D78" s="14"/>
      <c r="E78" s="25"/>
      <c r="F78" s="65"/>
    </row>
    <row r="79" ht="18.0" customHeight="1">
      <c r="A79" s="38"/>
      <c r="B79" s="24"/>
      <c r="C79" s="39"/>
      <c r="D79" s="24"/>
      <c r="E79" s="25"/>
      <c r="F79" s="65"/>
    </row>
    <row r="80" ht="18.0" customHeight="1">
      <c r="A80" s="35"/>
      <c r="B80" s="14"/>
      <c r="C80" s="37"/>
      <c r="D80" s="14"/>
      <c r="E80" s="25"/>
      <c r="F80" s="65"/>
    </row>
    <row r="81" ht="18.0" customHeight="1">
      <c r="A81" s="38"/>
      <c r="B81" s="24"/>
      <c r="C81" s="39"/>
      <c r="D81" s="24"/>
      <c r="E81" s="25"/>
      <c r="F81" s="65"/>
    </row>
    <row r="82" ht="18.0" customHeight="1">
      <c r="A82" s="35"/>
      <c r="B82" s="14"/>
      <c r="C82" s="37"/>
      <c r="D82" s="14"/>
      <c r="E82" s="25"/>
      <c r="F82" s="65"/>
    </row>
    <row r="83" ht="18.0" customHeight="1">
      <c r="A83" s="38"/>
      <c r="B83" s="24"/>
      <c r="C83" s="39"/>
      <c r="D83" s="24"/>
      <c r="E83" s="25"/>
      <c r="F83" s="65"/>
    </row>
    <row r="84" ht="18.0" customHeight="1">
      <c r="A84" s="35"/>
      <c r="B84" s="14"/>
      <c r="C84" s="37"/>
      <c r="D84" s="14"/>
      <c r="E84" s="25"/>
      <c r="F84" s="65"/>
    </row>
    <row r="85" ht="18.0" customHeight="1">
      <c r="A85" s="38"/>
      <c r="B85" s="24"/>
      <c r="C85" s="39"/>
      <c r="D85" s="24"/>
      <c r="E85" s="25"/>
      <c r="F85" s="65"/>
    </row>
    <row r="86" ht="18.0" customHeight="1">
      <c r="A86" s="35"/>
      <c r="B86" s="14"/>
      <c r="C86" s="37"/>
      <c r="D86" s="14"/>
      <c r="E86" s="25"/>
      <c r="F86" s="65"/>
    </row>
    <row r="87" ht="18.0" customHeight="1">
      <c r="A87" s="38"/>
      <c r="B87" s="24"/>
      <c r="C87" s="39"/>
      <c r="D87" s="24"/>
      <c r="E87" s="25"/>
      <c r="F87" s="65"/>
    </row>
    <row r="88" ht="18.0" customHeight="1">
      <c r="A88" s="35"/>
      <c r="B88" s="14"/>
      <c r="C88" s="37"/>
      <c r="D88" s="14"/>
      <c r="E88" s="25"/>
      <c r="F88" s="65"/>
    </row>
    <row r="89" ht="18.0" customHeight="1">
      <c r="A89" s="38"/>
      <c r="B89" s="24"/>
      <c r="C89" s="39"/>
      <c r="D89" s="24"/>
      <c r="E89" s="25"/>
      <c r="F89" s="65"/>
    </row>
    <row r="90" ht="18.0" customHeight="1">
      <c r="A90" s="35"/>
      <c r="B90" s="14"/>
      <c r="C90" s="37"/>
      <c r="D90" s="14"/>
      <c r="E90" s="25"/>
      <c r="F90" s="65"/>
    </row>
    <row r="91" ht="18.0" customHeight="1">
      <c r="A91" s="38"/>
      <c r="B91" s="24"/>
      <c r="C91" s="39"/>
      <c r="D91" s="24"/>
      <c r="E91" s="25"/>
      <c r="F91" s="65"/>
    </row>
    <row r="92" ht="18.0" customHeight="1">
      <c r="A92" s="35"/>
      <c r="B92" s="14"/>
      <c r="C92" s="37"/>
      <c r="D92" s="14"/>
      <c r="E92" s="25"/>
      <c r="F92" s="65"/>
    </row>
    <row r="93" ht="18.0" customHeight="1">
      <c r="A93" s="38"/>
      <c r="B93" s="24"/>
      <c r="C93" s="39"/>
      <c r="D93" s="24"/>
      <c r="E93" s="25"/>
      <c r="F93" s="65"/>
    </row>
    <row r="94" ht="18.0" customHeight="1">
      <c r="A94" s="35"/>
      <c r="B94" s="14"/>
      <c r="C94" s="37"/>
      <c r="D94" s="14"/>
      <c r="E94" s="25"/>
      <c r="F94" s="65"/>
    </row>
    <row r="95" ht="18.0" customHeight="1">
      <c r="A95" s="38"/>
      <c r="B95" s="24"/>
      <c r="C95" s="39"/>
      <c r="D95" s="24"/>
      <c r="E95" s="25"/>
      <c r="F95" s="65"/>
    </row>
    <row r="96" ht="18.0" customHeight="1">
      <c r="A96" s="35"/>
      <c r="B96" s="14"/>
      <c r="C96" s="37"/>
      <c r="D96" s="14"/>
      <c r="E96" s="25"/>
      <c r="F96" s="65"/>
    </row>
    <row r="97" ht="18.0" customHeight="1">
      <c r="A97" s="38"/>
      <c r="B97" s="24"/>
      <c r="C97" s="39"/>
      <c r="D97" s="24"/>
      <c r="E97" s="25"/>
      <c r="F97" s="65"/>
    </row>
    <row r="98" ht="18.0" customHeight="1">
      <c r="A98" s="35"/>
      <c r="B98" s="14"/>
      <c r="C98" s="37"/>
      <c r="D98" s="14"/>
      <c r="E98" s="25"/>
      <c r="F98" s="65"/>
    </row>
    <row r="99" ht="18.0" customHeight="1">
      <c r="A99" s="38"/>
      <c r="B99" s="24"/>
      <c r="C99" s="39"/>
      <c r="D99" s="24"/>
      <c r="E99" s="25"/>
      <c r="F99" s="65"/>
    </row>
    <row r="100" ht="18.0" customHeight="1">
      <c r="A100" s="35"/>
      <c r="B100" s="14"/>
      <c r="C100" s="37"/>
      <c r="D100" s="14"/>
      <c r="E100" s="25"/>
      <c r="F100" s="65"/>
    </row>
    <row r="101" ht="18.0" customHeight="1">
      <c r="A101" s="38"/>
      <c r="B101" s="24"/>
      <c r="C101" s="51"/>
      <c r="D101" s="24"/>
      <c r="E101" s="53"/>
      <c r="F101" s="53"/>
    </row>
    <row r="102" ht="18.0" customHeight="1">
      <c r="A102" s="35"/>
      <c r="B102" s="14"/>
      <c r="C102" s="54"/>
      <c r="D102" s="14"/>
      <c r="E102" s="53"/>
      <c r="F102" s="53"/>
    </row>
    <row r="103" ht="18.0" customHeight="1">
      <c r="A103" s="38"/>
      <c r="B103" s="24"/>
      <c r="C103" s="51"/>
      <c r="D103" s="24"/>
      <c r="E103" s="53"/>
      <c r="F103" s="53"/>
    </row>
    <row r="104" ht="18.0" customHeight="1">
      <c r="A104" s="35"/>
      <c r="B104" s="14"/>
      <c r="C104" s="54"/>
      <c r="D104" s="14"/>
      <c r="E104" s="53"/>
      <c r="F104" s="53"/>
    </row>
    <row r="105" ht="18.0" customHeight="1">
      <c r="A105" s="38"/>
      <c r="B105" s="24"/>
      <c r="C105" s="51"/>
      <c r="D105" s="24"/>
      <c r="E105" s="53"/>
      <c r="F105" s="53"/>
    </row>
    <row r="106" ht="18.0" customHeight="1">
      <c r="A106" s="35"/>
      <c r="B106" s="14"/>
      <c r="C106" s="54"/>
      <c r="D106" s="14"/>
      <c r="E106" s="53"/>
      <c r="F106" s="53"/>
    </row>
    <row r="107" ht="18.0" customHeight="1">
      <c r="A107" s="38"/>
      <c r="B107" s="24"/>
      <c r="C107" s="51"/>
      <c r="D107" s="24"/>
      <c r="E107" s="53"/>
      <c r="F107" s="53"/>
    </row>
    <row r="108" ht="18.0" customHeight="1">
      <c r="A108" s="35"/>
      <c r="B108" s="14"/>
      <c r="C108" s="54"/>
      <c r="D108" s="14"/>
      <c r="E108" s="53"/>
      <c r="F108" s="53"/>
    </row>
    <row r="109" ht="18.0" customHeight="1">
      <c r="A109" s="38"/>
      <c r="B109" s="24"/>
      <c r="C109" s="51"/>
      <c r="D109" s="24"/>
      <c r="E109" s="53"/>
      <c r="F109" s="53"/>
    </row>
    <row r="110" ht="18.0" customHeight="1">
      <c r="A110" s="35"/>
      <c r="B110" s="14"/>
      <c r="C110" s="54"/>
      <c r="D110" s="14"/>
      <c r="E110" s="53"/>
      <c r="F110" s="53"/>
    </row>
    <row r="111" ht="18.0" customHeight="1">
      <c r="A111" s="38"/>
      <c r="B111" s="24"/>
      <c r="C111" s="51"/>
      <c r="D111" s="24"/>
      <c r="E111" s="53"/>
      <c r="F111" s="53"/>
    </row>
    <row r="112" ht="18.0" customHeight="1">
      <c r="A112" s="35"/>
      <c r="B112" s="14"/>
      <c r="C112" s="54"/>
      <c r="D112" s="14"/>
      <c r="E112" s="53"/>
      <c r="F112" s="53"/>
    </row>
    <row r="113" ht="18.0" customHeight="1">
      <c r="A113" s="38"/>
      <c r="B113" s="24"/>
      <c r="C113" s="51"/>
      <c r="D113" s="24"/>
      <c r="E113" s="53"/>
      <c r="F113" s="53"/>
    </row>
    <row r="114" ht="18.0" customHeight="1">
      <c r="A114" s="35"/>
      <c r="B114" s="14"/>
      <c r="C114" s="54"/>
      <c r="D114" s="14"/>
      <c r="E114" s="53"/>
      <c r="F114" s="53"/>
    </row>
    <row r="115" ht="18.0" customHeight="1">
      <c r="A115" s="38"/>
      <c r="B115" s="24"/>
      <c r="C115" s="51"/>
      <c r="D115" s="24"/>
      <c r="E115" s="53"/>
      <c r="F115" s="53"/>
    </row>
    <row r="116" ht="18.0" customHeight="1">
      <c r="A116" s="35"/>
      <c r="B116" s="14"/>
      <c r="C116" s="54"/>
      <c r="D116" s="14"/>
      <c r="E116" s="53"/>
      <c r="F116" s="53"/>
    </row>
    <row r="117" ht="18.0" customHeight="1">
      <c r="A117" s="38"/>
      <c r="B117" s="24"/>
      <c r="C117" s="51"/>
      <c r="D117" s="24"/>
      <c r="E117" s="53"/>
      <c r="F117" s="53"/>
    </row>
    <row r="118" ht="18.0" customHeight="1">
      <c r="A118" s="35"/>
      <c r="B118" s="14"/>
      <c r="C118" s="54"/>
      <c r="D118" s="14"/>
      <c r="E118" s="53"/>
      <c r="F118" s="53"/>
    </row>
    <row r="119" ht="18.0" customHeight="1">
      <c r="A119" s="38"/>
      <c r="B119" s="24"/>
      <c r="C119" s="51"/>
      <c r="D119" s="24"/>
      <c r="E119" s="53"/>
      <c r="F119" s="53"/>
    </row>
    <row r="120" ht="18.0" customHeight="1">
      <c r="A120" s="35"/>
      <c r="B120" s="14"/>
      <c r="C120" s="54"/>
      <c r="D120" s="14"/>
      <c r="E120" s="53"/>
      <c r="F120" s="53"/>
    </row>
    <row r="121" ht="18.0" customHeight="1">
      <c r="A121" s="38"/>
      <c r="B121" s="24"/>
      <c r="C121" s="51"/>
      <c r="D121" s="24"/>
      <c r="E121" s="53"/>
      <c r="F121" s="53"/>
    </row>
    <row r="122" ht="18.0" customHeight="1">
      <c r="A122" s="35"/>
      <c r="B122" s="14"/>
      <c r="C122" s="54"/>
      <c r="D122" s="14"/>
      <c r="E122" s="53"/>
      <c r="F122" s="53"/>
    </row>
    <row r="123" ht="18.0" customHeight="1">
      <c r="A123" s="38"/>
      <c r="B123" s="24"/>
      <c r="C123" s="51"/>
      <c r="D123" s="24"/>
      <c r="E123" s="53"/>
      <c r="F123" s="53"/>
    </row>
    <row r="124" ht="18.0" customHeight="1">
      <c r="A124" s="35"/>
      <c r="B124" s="14"/>
      <c r="C124" s="54"/>
      <c r="D124" s="14"/>
      <c r="E124" s="53"/>
      <c r="F124" s="53"/>
    </row>
    <row r="125" ht="18.0" customHeight="1">
      <c r="A125" s="38"/>
      <c r="B125" s="24"/>
      <c r="C125" s="51"/>
      <c r="D125" s="24"/>
      <c r="E125" s="53"/>
      <c r="F125" s="53"/>
    </row>
    <row r="126" ht="18.0" customHeight="1">
      <c r="A126" s="35"/>
      <c r="B126" s="14"/>
      <c r="C126" s="54"/>
      <c r="D126" s="14"/>
      <c r="E126" s="53"/>
      <c r="F126" s="53"/>
    </row>
    <row r="127" ht="18.0" customHeight="1">
      <c r="A127" s="38"/>
      <c r="B127" s="24"/>
      <c r="C127" s="51"/>
      <c r="D127" s="24"/>
      <c r="E127" s="53"/>
      <c r="F127" s="53"/>
    </row>
    <row r="128" ht="18.0" customHeight="1">
      <c r="A128" s="35"/>
      <c r="B128" s="14"/>
      <c r="C128" s="54"/>
      <c r="D128" s="14"/>
      <c r="E128" s="53"/>
      <c r="F128" s="53"/>
    </row>
    <row r="129" ht="18.0" customHeight="1">
      <c r="A129" s="38"/>
      <c r="B129" s="24"/>
      <c r="C129" s="51"/>
      <c r="D129" s="24"/>
      <c r="E129" s="53"/>
      <c r="F129" s="53"/>
    </row>
    <row r="130" ht="18.0" customHeight="1">
      <c r="A130" s="35"/>
      <c r="B130" s="14"/>
      <c r="C130" s="54"/>
      <c r="D130" s="14"/>
      <c r="E130" s="53"/>
      <c r="F130" s="53"/>
    </row>
    <row r="131" ht="18.0" customHeight="1">
      <c r="A131" s="38"/>
      <c r="B131" s="24"/>
      <c r="C131" s="51"/>
      <c r="D131" s="24"/>
      <c r="E131" s="53"/>
      <c r="F131" s="53"/>
    </row>
    <row r="132" ht="18.0" customHeight="1">
      <c r="A132" s="35"/>
      <c r="B132" s="14"/>
      <c r="C132" s="54"/>
      <c r="D132" s="14"/>
      <c r="E132" s="53"/>
      <c r="F132" s="53"/>
    </row>
    <row r="133" ht="18.0" customHeight="1">
      <c r="A133" s="38"/>
      <c r="B133" s="24"/>
      <c r="C133" s="51"/>
      <c r="D133" s="24"/>
      <c r="E133" s="53"/>
      <c r="F133" s="53"/>
    </row>
    <row r="134" ht="18.0" customHeight="1">
      <c r="A134" s="35"/>
      <c r="B134" s="14"/>
      <c r="C134" s="54"/>
      <c r="D134" s="14"/>
      <c r="E134" s="53"/>
      <c r="F134" s="53"/>
    </row>
    <row r="135" ht="18.0" customHeight="1">
      <c r="A135" s="38"/>
      <c r="B135" s="24"/>
      <c r="C135" s="51"/>
      <c r="D135" s="24"/>
      <c r="E135" s="53"/>
      <c r="F135" s="53"/>
    </row>
    <row r="136" ht="18.0" customHeight="1">
      <c r="A136" s="35"/>
      <c r="B136" s="14"/>
      <c r="C136" s="54"/>
      <c r="D136" s="14"/>
      <c r="E136" s="53"/>
      <c r="F136" s="53"/>
    </row>
    <row r="137" ht="18.0" customHeight="1">
      <c r="A137" s="38"/>
      <c r="B137" s="24"/>
      <c r="C137" s="51"/>
      <c r="D137" s="24"/>
      <c r="E137" s="53"/>
      <c r="F137" s="53"/>
    </row>
    <row r="138" ht="18.0" customHeight="1">
      <c r="A138" s="35"/>
      <c r="B138" s="14"/>
      <c r="C138" s="54"/>
      <c r="D138" s="14"/>
      <c r="E138" s="53"/>
      <c r="F138" s="53"/>
    </row>
    <row r="139" ht="18.0" customHeight="1">
      <c r="A139" s="38"/>
      <c r="B139" s="24"/>
      <c r="C139" s="51"/>
      <c r="D139" s="24"/>
      <c r="E139" s="53"/>
      <c r="F139" s="53"/>
    </row>
    <row r="140" ht="18.0" customHeight="1">
      <c r="A140" s="35"/>
      <c r="B140" s="14"/>
      <c r="C140" s="54"/>
      <c r="D140" s="14"/>
      <c r="E140" s="53"/>
      <c r="F140" s="53"/>
    </row>
    <row r="141" ht="18.0" customHeight="1">
      <c r="A141" s="38"/>
      <c r="B141" s="24"/>
      <c r="C141" s="51"/>
      <c r="D141" s="24"/>
      <c r="E141" s="53"/>
      <c r="F141" s="53"/>
    </row>
    <row r="142" ht="18.0" customHeight="1">
      <c r="A142" s="35"/>
      <c r="B142" s="14"/>
      <c r="C142" s="54"/>
      <c r="D142" s="14"/>
      <c r="E142" s="53"/>
      <c r="F142" s="53"/>
    </row>
    <row r="143" ht="18.0" customHeight="1">
      <c r="A143" s="38"/>
      <c r="B143" s="24"/>
      <c r="C143" s="51"/>
      <c r="D143" s="24"/>
      <c r="E143" s="53"/>
      <c r="F143" s="53"/>
    </row>
    <row r="144" ht="18.0" customHeight="1">
      <c r="A144" s="35"/>
      <c r="B144" s="14"/>
      <c r="C144" s="54"/>
      <c r="D144" s="14"/>
      <c r="E144" s="53"/>
      <c r="F144" s="53"/>
    </row>
    <row r="145" ht="18.0" customHeight="1">
      <c r="A145" s="38"/>
      <c r="B145" s="24"/>
      <c r="C145" s="51"/>
      <c r="D145" s="24"/>
      <c r="E145" s="53"/>
      <c r="F145" s="53"/>
    </row>
    <row r="146" ht="18.0" customHeight="1">
      <c r="A146" s="35"/>
      <c r="B146" s="14"/>
      <c r="C146" s="54"/>
      <c r="D146" s="14"/>
      <c r="E146" s="53"/>
      <c r="F146" s="53"/>
    </row>
    <row r="147" ht="18.0" customHeight="1">
      <c r="A147" s="38"/>
      <c r="B147" s="24"/>
      <c r="C147" s="51"/>
      <c r="D147" s="24"/>
      <c r="E147" s="53"/>
      <c r="F147" s="53"/>
    </row>
    <row r="148" ht="18.0" customHeight="1">
      <c r="A148" s="35"/>
      <c r="B148" s="14"/>
      <c r="C148" s="54"/>
      <c r="D148" s="14"/>
      <c r="E148" s="53"/>
      <c r="F148" s="53"/>
    </row>
    <row r="149" ht="18.0" customHeight="1">
      <c r="A149" s="38"/>
      <c r="B149" s="24"/>
      <c r="C149" s="51"/>
      <c r="D149" s="24"/>
      <c r="E149" s="53"/>
      <c r="F149" s="53"/>
    </row>
    <row r="150" ht="18.0" customHeight="1">
      <c r="A150" s="35"/>
      <c r="B150" s="14"/>
      <c r="C150" s="54"/>
      <c r="D150" s="14"/>
      <c r="E150" s="53"/>
      <c r="F150" s="53"/>
    </row>
    <row r="151" ht="18.0" customHeight="1">
      <c r="A151" s="38"/>
      <c r="B151" s="24"/>
      <c r="C151" s="51"/>
      <c r="D151" s="24"/>
      <c r="E151" s="53"/>
      <c r="F151" s="53"/>
    </row>
    <row r="152" ht="18.0" customHeight="1">
      <c r="A152" s="35"/>
      <c r="B152" s="14"/>
      <c r="C152" s="54"/>
      <c r="D152" s="14"/>
      <c r="E152" s="53"/>
      <c r="F152" s="53"/>
    </row>
    <row r="153" ht="18.0" customHeight="1">
      <c r="A153" s="38"/>
      <c r="B153" s="24"/>
      <c r="C153" s="51"/>
      <c r="D153" s="24"/>
      <c r="E153" s="53"/>
      <c r="F153" s="53"/>
    </row>
    <row r="154" ht="18.0" customHeight="1">
      <c r="A154" s="35"/>
      <c r="B154" s="14"/>
      <c r="C154" s="54"/>
      <c r="D154" s="14"/>
      <c r="E154" s="53"/>
      <c r="F154" s="53"/>
    </row>
    <row r="155" ht="18.0" customHeight="1">
      <c r="A155" s="38"/>
      <c r="B155" s="24"/>
      <c r="C155" s="51"/>
      <c r="D155" s="24"/>
      <c r="E155" s="53"/>
      <c r="F155" s="53"/>
    </row>
    <row r="156" ht="18.0" customHeight="1">
      <c r="A156" s="35"/>
      <c r="B156" s="14"/>
      <c r="C156" s="54"/>
      <c r="D156" s="14"/>
      <c r="E156" s="53"/>
      <c r="F156" s="53"/>
    </row>
    <row r="157" ht="18.0" customHeight="1">
      <c r="A157" s="38"/>
      <c r="B157" s="24"/>
      <c r="C157" s="51"/>
      <c r="D157" s="24"/>
      <c r="E157" s="53"/>
      <c r="F157" s="53"/>
    </row>
    <row r="158" ht="18.0" customHeight="1">
      <c r="A158" s="35"/>
      <c r="B158" s="14"/>
      <c r="C158" s="54"/>
      <c r="D158" s="14"/>
      <c r="E158" s="53"/>
      <c r="F158" s="53"/>
    </row>
    <row r="159" ht="18.0" customHeight="1">
      <c r="A159" s="38"/>
      <c r="B159" s="24"/>
      <c r="C159" s="51"/>
      <c r="D159" s="24"/>
      <c r="E159" s="53"/>
      <c r="F159" s="53"/>
    </row>
    <row r="160" ht="18.0" customHeight="1">
      <c r="A160" s="35"/>
      <c r="B160" s="14"/>
      <c r="C160" s="54"/>
      <c r="D160" s="14"/>
      <c r="E160" s="53"/>
      <c r="F160" s="53"/>
    </row>
    <row r="161" ht="18.0" customHeight="1">
      <c r="A161" s="38"/>
      <c r="B161" s="24"/>
      <c r="C161" s="51"/>
      <c r="D161" s="24"/>
      <c r="E161" s="53"/>
      <c r="F161" s="53"/>
    </row>
    <row r="162" ht="18.0" customHeight="1">
      <c r="A162" s="35"/>
      <c r="B162" s="14"/>
      <c r="C162" s="54"/>
      <c r="D162" s="14"/>
      <c r="E162" s="53"/>
      <c r="F162" s="53"/>
    </row>
    <row r="163" ht="18.0" customHeight="1">
      <c r="A163" s="38"/>
      <c r="B163" s="24"/>
      <c r="C163" s="51"/>
      <c r="D163" s="24"/>
      <c r="E163" s="53"/>
      <c r="F163" s="53"/>
    </row>
    <row r="164" ht="18.0" customHeight="1">
      <c r="A164" s="35"/>
      <c r="B164" s="14"/>
      <c r="C164" s="54"/>
      <c r="D164" s="14"/>
      <c r="E164" s="53"/>
      <c r="F164" s="53"/>
    </row>
    <row r="165" ht="18.0" customHeight="1">
      <c r="A165" s="38"/>
      <c r="B165" s="24"/>
      <c r="C165" s="51"/>
      <c r="D165" s="24"/>
      <c r="E165" s="53"/>
      <c r="F165" s="53"/>
    </row>
    <row r="166" ht="18.0" customHeight="1">
      <c r="A166" s="35"/>
      <c r="B166" s="14"/>
      <c r="C166" s="54"/>
      <c r="D166" s="14"/>
      <c r="E166" s="53"/>
      <c r="F166" s="53"/>
    </row>
    <row r="167" ht="18.0" customHeight="1">
      <c r="A167" s="38"/>
      <c r="B167" s="24"/>
      <c r="C167" s="51"/>
      <c r="D167" s="24"/>
      <c r="E167" s="53"/>
      <c r="F167" s="53"/>
    </row>
    <row r="168" ht="18.0" customHeight="1">
      <c r="A168" s="35"/>
      <c r="B168" s="14"/>
      <c r="C168" s="54"/>
      <c r="D168" s="14"/>
      <c r="E168" s="53"/>
      <c r="F168" s="53"/>
    </row>
    <row r="169" ht="18.0" customHeight="1">
      <c r="A169" s="38"/>
      <c r="B169" s="24"/>
      <c r="C169" s="51"/>
      <c r="D169" s="24"/>
      <c r="E169" s="53"/>
      <c r="F169" s="53"/>
    </row>
    <row r="170" ht="18.0" customHeight="1">
      <c r="A170" s="35"/>
      <c r="B170" s="14"/>
      <c r="C170" s="54"/>
      <c r="D170" s="14"/>
      <c r="E170" s="53"/>
      <c r="F170" s="53"/>
    </row>
    <row r="171" ht="18.0" customHeight="1">
      <c r="A171" s="38"/>
      <c r="B171" s="24"/>
      <c r="C171" s="51"/>
      <c r="D171" s="24"/>
      <c r="E171" s="53"/>
      <c r="F171" s="53"/>
    </row>
    <row r="172" ht="18.0" customHeight="1">
      <c r="A172" s="35"/>
      <c r="B172" s="14"/>
      <c r="C172" s="54"/>
      <c r="D172" s="14"/>
      <c r="E172" s="53"/>
      <c r="F172" s="53"/>
    </row>
    <row r="173" ht="18.0" customHeight="1">
      <c r="A173" s="38"/>
      <c r="B173" s="24"/>
      <c r="C173" s="51"/>
      <c r="D173" s="24"/>
      <c r="E173" s="53"/>
      <c r="F173" s="53"/>
    </row>
    <row r="174" ht="18.0" customHeight="1">
      <c r="A174" s="35"/>
      <c r="B174" s="14"/>
      <c r="C174" s="54"/>
      <c r="D174" s="14"/>
      <c r="E174" s="53"/>
      <c r="F174" s="53"/>
    </row>
    <row r="175" ht="18.0" customHeight="1">
      <c r="A175" s="38"/>
      <c r="B175" s="24"/>
      <c r="C175" s="51"/>
      <c r="D175" s="24"/>
      <c r="E175" s="53"/>
      <c r="F175" s="53"/>
    </row>
    <row r="176" ht="18.0" customHeight="1">
      <c r="A176" s="35"/>
      <c r="B176" s="14"/>
      <c r="C176" s="54"/>
      <c r="D176" s="14"/>
      <c r="E176" s="53"/>
      <c r="F176" s="53"/>
    </row>
    <row r="177" ht="18.0" customHeight="1">
      <c r="A177" s="38"/>
      <c r="B177" s="24"/>
      <c r="C177" s="51"/>
      <c r="D177" s="24"/>
      <c r="E177" s="53"/>
      <c r="F177" s="53"/>
    </row>
    <row r="178" ht="18.0" customHeight="1">
      <c r="A178" s="35"/>
      <c r="B178" s="14"/>
      <c r="C178" s="54"/>
      <c r="D178" s="14"/>
      <c r="E178" s="53"/>
      <c r="F178" s="53"/>
    </row>
    <row r="179" ht="18.0" customHeight="1">
      <c r="A179" s="38"/>
      <c r="B179" s="24"/>
      <c r="C179" s="51"/>
      <c r="D179" s="24"/>
      <c r="E179" s="53"/>
      <c r="F179" s="53"/>
    </row>
    <row r="180" ht="18.0" customHeight="1">
      <c r="A180" s="35"/>
      <c r="B180" s="14"/>
      <c r="C180" s="54"/>
      <c r="D180" s="14"/>
      <c r="E180" s="53"/>
      <c r="F180" s="53"/>
    </row>
    <row r="181" ht="18.0" customHeight="1">
      <c r="A181" s="38"/>
      <c r="B181" s="24"/>
      <c r="C181" s="51"/>
      <c r="D181" s="24"/>
      <c r="E181" s="53"/>
      <c r="F181" s="53"/>
    </row>
    <row r="182" ht="18.0" customHeight="1">
      <c r="A182" s="35"/>
      <c r="B182" s="14"/>
      <c r="C182" s="54"/>
      <c r="D182" s="14"/>
      <c r="E182" s="53"/>
      <c r="F182" s="53"/>
    </row>
    <row r="183" ht="18.0" customHeight="1">
      <c r="A183" s="38"/>
      <c r="B183" s="24"/>
      <c r="C183" s="51"/>
      <c r="D183" s="24"/>
      <c r="E183" s="53"/>
      <c r="F183" s="53"/>
    </row>
    <row r="184" ht="18.0" customHeight="1">
      <c r="A184" s="35"/>
      <c r="B184" s="14"/>
      <c r="C184" s="54"/>
      <c r="D184" s="14"/>
      <c r="E184" s="53"/>
      <c r="F184" s="53"/>
    </row>
    <row r="185" ht="18.0" customHeight="1">
      <c r="A185" s="38"/>
      <c r="B185" s="24"/>
      <c r="C185" s="51"/>
      <c r="D185" s="24"/>
      <c r="E185" s="53"/>
      <c r="F185" s="53"/>
    </row>
    <row r="186" ht="18.0" customHeight="1">
      <c r="A186" s="35"/>
      <c r="B186" s="14"/>
      <c r="C186" s="54"/>
      <c r="D186" s="14"/>
      <c r="E186" s="53"/>
      <c r="F186" s="53"/>
    </row>
    <row r="187" ht="18.0" customHeight="1">
      <c r="A187" s="38"/>
      <c r="B187" s="24"/>
      <c r="C187" s="51"/>
      <c r="D187" s="24"/>
      <c r="E187" s="53"/>
      <c r="F187" s="53"/>
    </row>
    <row r="188" ht="18.0" customHeight="1">
      <c r="A188" s="35"/>
      <c r="B188" s="14"/>
      <c r="C188" s="54"/>
      <c r="D188" s="14"/>
      <c r="E188" s="53"/>
      <c r="F188" s="53"/>
    </row>
    <row r="189" ht="18.0" customHeight="1">
      <c r="A189" s="38"/>
      <c r="B189" s="24"/>
      <c r="C189" s="51"/>
      <c r="D189" s="24"/>
      <c r="E189" s="53"/>
      <c r="F189" s="53"/>
    </row>
    <row r="190" ht="18.0" customHeight="1">
      <c r="A190" s="35"/>
      <c r="B190" s="14"/>
      <c r="C190" s="54"/>
      <c r="D190" s="14"/>
      <c r="E190" s="53"/>
      <c r="F190" s="53"/>
    </row>
    <row r="191" ht="18.0" customHeight="1">
      <c r="A191" s="38"/>
      <c r="B191" s="24"/>
      <c r="C191" s="51"/>
      <c r="D191" s="24"/>
      <c r="E191" s="53"/>
      <c r="F191" s="53"/>
    </row>
    <row r="192" ht="18.0" customHeight="1">
      <c r="A192" s="35"/>
      <c r="B192" s="14"/>
      <c r="C192" s="54"/>
      <c r="D192" s="14"/>
      <c r="E192" s="53"/>
      <c r="F192" s="53"/>
    </row>
    <row r="193" ht="18.0" customHeight="1">
      <c r="A193" s="38"/>
      <c r="B193" s="24"/>
      <c r="C193" s="51"/>
      <c r="D193" s="24"/>
      <c r="E193" s="53"/>
      <c r="F193" s="53"/>
    </row>
    <row r="194" ht="18.0" customHeight="1">
      <c r="A194" s="35"/>
      <c r="B194" s="14"/>
      <c r="C194" s="54"/>
      <c r="D194" s="14"/>
      <c r="E194" s="53"/>
      <c r="F194" s="53"/>
    </row>
    <row r="195" ht="18.0" customHeight="1">
      <c r="A195" s="38"/>
      <c r="B195" s="24"/>
      <c r="C195" s="51"/>
      <c r="D195" s="24"/>
      <c r="E195" s="53"/>
      <c r="F195" s="53"/>
    </row>
    <row r="196" ht="18.0" customHeight="1">
      <c r="A196" s="35"/>
      <c r="B196" s="14"/>
      <c r="C196" s="54"/>
      <c r="D196" s="14"/>
      <c r="E196" s="53"/>
      <c r="F196" s="53"/>
    </row>
    <row r="197" ht="18.0" customHeight="1">
      <c r="A197" s="38"/>
      <c r="B197" s="24"/>
      <c r="C197" s="51"/>
      <c r="D197" s="24"/>
      <c r="E197" s="53"/>
      <c r="F197" s="53"/>
    </row>
    <row r="198" ht="18.0" customHeight="1">
      <c r="A198" s="35"/>
      <c r="B198" s="14"/>
      <c r="C198" s="54"/>
      <c r="D198" s="14"/>
      <c r="E198" s="53"/>
      <c r="F198" s="53"/>
    </row>
    <row r="199" ht="18.0" customHeight="1">
      <c r="A199" s="38"/>
      <c r="B199" s="24"/>
      <c r="C199" s="51"/>
      <c r="D199" s="24"/>
      <c r="E199" s="53"/>
      <c r="F199" s="53"/>
    </row>
    <row r="200" ht="18.0" customHeight="1">
      <c r="A200" s="35"/>
      <c r="B200" s="14"/>
      <c r="C200" s="54"/>
      <c r="D200" s="14"/>
      <c r="E200" s="53"/>
      <c r="F200" s="53"/>
    </row>
    <row r="201" ht="18.0" customHeight="1">
      <c r="A201" s="38"/>
      <c r="B201" s="24"/>
      <c r="C201" s="51"/>
      <c r="D201" s="24"/>
      <c r="E201" s="53"/>
      <c r="F201" s="53"/>
    </row>
    <row r="202" ht="18.0" customHeight="1">
      <c r="A202" s="35"/>
      <c r="B202" s="14"/>
      <c r="C202" s="54"/>
      <c r="D202" s="14"/>
      <c r="E202" s="53"/>
      <c r="F202" s="53"/>
    </row>
    <row r="203" ht="18.0" customHeight="1">
      <c r="A203" s="38"/>
      <c r="B203" s="24"/>
      <c r="C203" s="51"/>
      <c r="D203" s="24"/>
      <c r="E203" s="53"/>
      <c r="F203" s="53"/>
    </row>
    <row r="204" ht="18.0" customHeight="1">
      <c r="A204" s="35"/>
      <c r="B204" s="14"/>
      <c r="C204" s="54"/>
      <c r="D204" s="14"/>
      <c r="E204" s="53"/>
      <c r="F204" s="53"/>
    </row>
    <row r="205" ht="18.0" customHeight="1">
      <c r="A205" s="38"/>
      <c r="B205" s="24"/>
      <c r="C205" s="51"/>
      <c r="D205" s="24"/>
      <c r="E205" s="53"/>
      <c r="F205" s="53"/>
    </row>
    <row r="206" ht="18.0" customHeight="1">
      <c r="A206" s="35"/>
      <c r="B206" s="14"/>
      <c r="C206" s="54"/>
      <c r="D206" s="14"/>
      <c r="E206" s="53"/>
      <c r="F206" s="53"/>
    </row>
    <row r="207" ht="18.0" customHeight="1">
      <c r="A207" s="38"/>
      <c r="B207" s="24"/>
      <c r="C207" s="51"/>
      <c r="D207" s="24"/>
      <c r="E207" s="53"/>
      <c r="F207" s="53"/>
    </row>
    <row r="208" ht="18.0" customHeight="1">
      <c r="A208" s="35"/>
      <c r="B208" s="14"/>
      <c r="C208" s="54"/>
      <c r="D208" s="14"/>
      <c r="E208" s="53"/>
      <c r="F208" s="53"/>
    </row>
    <row r="209" ht="18.0" customHeight="1">
      <c r="A209" s="38"/>
      <c r="B209" s="24"/>
      <c r="C209" s="51"/>
      <c r="D209" s="24"/>
      <c r="E209" s="53"/>
      <c r="F209" s="53"/>
    </row>
    <row r="210" ht="18.0" customHeight="1">
      <c r="A210" s="35"/>
      <c r="B210" s="14"/>
      <c r="C210" s="54"/>
      <c r="D210" s="14"/>
      <c r="E210" s="53"/>
      <c r="F210" s="53"/>
    </row>
    <row r="211" ht="18.0" customHeight="1">
      <c r="A211" s="38"/>
      <c r="B211" s="24"/>
      <c r="C211" s="51"/>
      <c r="D211" s="24"/>
      <c r="E211" s="53"/>
      <c r="F211" s="53"/>
    </row>
    <row r="212" ht="18.0" customHeight="1">
      <c r="A212" s="35"/>
      <c r="B212" s="14"/>
      <c r="C212" s="54"/>
      <c r="D212" s="14"/>
      <c r="E212" s="53"/>
      <c r="F212" s="53"/>
    </row>
    <row r="213" ht="18.0" customHeight="1">
      <c r="A213" s="38"/>
      <c r="B213" s="24"/>
      <c r="C213" s="51"/>
      <c r="D213" s="24"/>
      <c r="E213" s="53"/>
      <c r="F213" s="53"/>
    </row>
    <row r="214" ht="18.0" customHeight="1">
      <c r="A214" s="35"/>
      <c r="B214" s="14"/>
      <c r="C214" s="54"/>
      <c r="D214" s="14"/>
      <c r="E214" s="53"/>
      <c r="F214" s="53"/>
    </row>
    <row r="215" ht="18.0" customHeight="1">
      <c r="A215" s="38"/>
      <c r="B215" s="24"/>
      <c r="C215" s="51"/>
      <c r="D215" s="24"/>
      <c r="E215" s="53"/>
      <c r="F215" s="53"/>
    </row>
    <row r="216" ht="18.0" customHeight="1">
      <c r="A216" s="35"/>
      <c r="B216" s="14"/>
      <c r="C216" s="54"/>
      <c r="D216" s="14"/>
      <c r="E216" s="53"/>
      <c r="F216" s="53"/>
    </row>
    <row r="217" ht="18.0" customHeight="1">
      <c r="A217" s="38"/>
      <c r="B217" s="24"/>
      <c r="C217" s="51"/>
      <c r="D217" s="24"/>
      <c r="E217" s="53"/>
      <c r="F217" s="53"/>
    </row>
    <row r="218" ht="18.0" customHeight="1">
      <c r="A218" s="35"/>
      <c r="B218" s="14"/>
      <c r="C218" s="54"/>
      <c r="D218" s="14"/>
      <c r="E218" s="53"/>
      <c r="F218" s="53"/>
    </row>
    <row r="219" ht="18.0" customHeight="1">
      <c r="A219" s="38"/>
      <c r="B219" s="24"/>
      <c r="C219" s="51"/>
      <c r="D219" s="24"/>
      <c r="E219" s="53"/>
      <c r="F219" s="53"/>
    </row>
    <row r="220" ht="18.0" customHeight="1">
      <c r="A220" s="35"/>
      <c r="B220" s="14"/>
      <c r="C220" s="54"/>
      <c r="D220" s="14"/>
      <c r="E220" s="53"/>
      <c r="F220" s="53"/>
    </row>
    <row r="221" ht="15.75" customHeight="1">
      <c r="D221" s="79"/>
    </row>
    <row r="222" ht="15.75" customHeight="1">
      <c r="D222" s="79"/>
    </row>
    <row r="223" ht="15.75" customHeight="1">
      <c r="D223" s="79"/>
    </row>
    <row r="224" ht="15.75" customHeight="1">
      <c r="D224" s="79"/>
    </row>
    <row r="225" ht="15.75" customHeight="1">
      <c r="D225" s="79"/>
    </row>
    <row r="226" ht="15.75" customHeight="1">
      <c r="D226" s="79"/>
    </row>
    <row r="227" ht="15.75" customHeight="1">
      <c r="D227" s="79"/>
    </row>
    <row r="228" ht="15.75" customHeight="1">
      <c r="D228" s="79"/>
    </row>
    <row r="229" ht="15.75" customHeight="1">
      <c r="D229" s="79"/>
    </row>
    <row r="230" ht="15.75" customHeight="1">
      <c r="D230" s="79"/>
    </row>
    <row r="231" ht="15.75" customHeight="1">
      <c r="D231" s="79"/>
    </row>
    <row r="232" ht="15.75" customHeight="1">
      <c r="D232" s="79"/>
    </row>
    <row r="233" ht="15.75" customHeight="1">
      <c r="D233" s="79"/>
    </row>
    <row r="234" ht="15.75" customHeight="1">
      <c r="D234" s="79"/>
    </row>
    <row r="235" ht="15.75" customHeight="1">
      <c r="D235" s="79"/>
    </row>
    <row r="236" ht="15.75" customHeight="1">
      <c r="D236" s="79"/>
    </row>
    <row r="237" ht="15.75" customHeight="1">
      <c r="D237" s="79"/>
    </row>
    <row r="238" ht="15.75" customHeight="1">
      <c r="D238" s="79"/>
    </row>
    <row r="239" ht="15.75" customHeight="1">
      <c r="D239" s="79"/>
    </row>
    <row r="240" ht="15.75" customHeight="1">
      <c r="D240" s="79"/>
    </row>
    <row r="241" ht="15.75" customHeight="1">
      <c r="D241" s="79"/>
    </row>
    <row r="242" ht="15.75" customHeight="1">
      <c r="D242" s="79"/>
    </row>
    <row r="243" ht="15.75" customHeight="1">
      <c r="D243" s="79"/>
    </row>
    <row r="244" ht="15.75" customHeight="1">
      <c r="D244" s="79"/>
    </row>
    <row r="245" ht="15.75" customHeight="1">
      <c r="D245" s="79"/>
    </row>
    <row r="246" ht="15.75" customHeight="1">
      <c r="D246" s="79"/>
    </row>
    <row r="247" ht="15.75" customHeight="1">
      <c r="D247" s="79"/>
    </row>
    <row r="248" ht="15.75" customHeight="1">
      <c r="D248" s="79"/>
    </row>
    <row r="249" ht="15.75" customHeight="1">
      <c r="D249" s="79"/>
    </row>
    <row r="250" ht="15.75" customHeight="1">
      <c r="D250" s="79"/>
    </row>
    <row r="251" ht="15.75" customHeight="1">
      <c r="D251" s="79"/>
    </row>
    <row r="252" ht="15.75" customHeight="1">
      <c r="D252" s="79"/>
    </row>
    <row r="253" ht="15.75" customHeight="1">
      <c r="D253" s="79"/>
    </row>
    <row r="254" ht="15.75" customHeight="1">
      <c r="D254" s="79"/>
    </row>
    <row r="255" ht="15.75" customHeight="1">
      <c r="D255" s="79"/>
    </row>
    <row r="256" ht="15.75" customHeight="1">
      <c r="D256" s="79"/>
    </row>
    <row r="257" ht="15.75" customHeight="1">
      <c r="D257" s="79"/>
    </row>
    <row r="258" ht="15.75" customHeight="1">
      <c r="D258" s="79"/>
    </row>
    <row r="259" ht="15.75" customHeight="1">
      <c r="D259" s="79"/>
    </row>
    <row r="260" ht="15.75" customHeight="1">
      <c r="D260" s="79"/>
    </row>
    <row r="261" ht="15.75" customHeight="1">
      <c r="D261" s="79"/>
    </row>
    <row r="262" ht="15.75" customHeight="1">
      <c r="D262" s="79"/>
    </row>
    <row r="263" ht="15.75" customHeight="1">
      <c r="D263" s="79"/>
    </row>
    <row r="264" ht="15.75" customHeight="1">
      <c r="D264" s="79"/>
    </row>
    <row r="265" ht="15.75" customHeight="1">
      <c r="D265" s="79"/>
    </row>
    <row r="266" ht="15.75" customHeight="1">
      <c r="D266" s="79"/>
    </row>
    <row r="267" ht="15.75" customHeight="1">
      <c r="D267" s="79"/>
    </row>
    <row r="268" ht="15.75" customHeight="1">
      <c r="D268" s="79"/>
    </row>
    <row r="269" ht="15.75" customHeight="1">
      <c r="D269" s="79"/>
    </row>
    <row r="270" ht="15.75" customHeight="1">
      <c r="D270" s="79"/>
    </row>
    <row r="271" ht="15.75" customHeight="1">
      <c r="D271" s="79"/>
    </row>
    <row r="272" ht="15.75" customHeight="1">
      <c r="D272" s="79"/>
    </row>
    <row r="273" ht="15.75" customHeight="1">
      <c r="D273" s="79"/>
    </row>
    <row r="274" ht="15.75" customHeight="1">
      <c r="D274" s="79"/>
    </row>
    <row r="275" ht="15.75" customHeight="1">
      <c r="D275" s="79"/>
    </row>
    <row r="276" ht="15.75" customHeight="1">
      <c r="D276" s="79"/>
    </row>
    <row r="277" ht="15.75" customHeight="1">
      <c r="D277" s="79"/>
    </row>
    <row r="278" ht="15.75" customHeight="1">
      <c r="D278" s="79"/>
    </row>
    <row r="279" ht="15.75" customHeight="1">
      <c r="D279" s="79"/>
    </row>
    <row r="280" ht="15.75" customHeight="1">
      <c r="D280" s="79"/>
    </row>
    <row r="281" ht="15.75" customHeight="1">
      <c r="D281" s="79"/>
    </row>
    <row r="282" ht="15.75" customHeight="1">
      <c r="D282" s="79"/>
    </row>
    <row r="283" ht="15.75" customHeight="1">
      <c r="D283" s="79"/>
    </row>
    <row r="284" ht="15.75" customHeight="1">
      <c r="D284" s="79"/>
    </row>
    <row r="285" ht="15.75" customHeight="1">
      <c r="D285" s="79"/>
    </row>
    <row r="286" ht="15.75" customHeight="1">
      <c r="D286" s="79"/>
    </row>
    <row r="287" ht="15.75" customHeight="1">
      <c r="D287" s="79"/>
    </row>
    <row r="288" ht="15.75" customHeight="1">
      <c r="D288" s="79"/>
    </row>
    <row r="289" ht="15.75" customHeight="1">
      <c r="D289" s="79"/>
    </row>
    <row r="290" ht="15.75" customHeight="1">
      <c r="D290" s="79"/>
    </row>
    <row r="291" ht="15.75" customHeight="1">
      <c r="D291" s="79"/>
    </row>
    <row r="292" ht="15.75" customHeight="1">
      <c r="D292" s="79"/>
    </row>
    <row r="293" ht="15.75" customHeight="1">
      <c r="D293" s="79"/>
    </row>
    <row r="294" ht="15.75" customHeight="1">
      <c r="D294" s="79"/>
    </row>
    <row r="295" ht="15.75" customHeight="1">
      <c r="D295" s="79"/>
    </row>
    <row r="296" ht="15.75" customHeight="1">
      <c r="D296" s="79"/>
    </row>
    <row r="297" ht="15.75" customHeight="1">
      <c r="D297" s="79"/>
    </row>
    <row r="298" ht="15.75" customHeight="1">
      <c r="D298" s="79"/>
    </row>
    <row r="299" ht="15.75" customHeight="1">
      <c r="D299" s="79"/>
    </row>
    <row r="300" ht="15.75" customHeight="1">
      <c r="D300" s="79"/>
    </row>
    <row r="301" ht="15.75" customHeight="1">
      <c r="D301" s="79"/>
    </row>
    <row r="302" ht="15.75" customHeight="1">
      <c r="D302" s="79"/>
    </row>
    <row r="303" ht="15.75" customHeight="1">
      <c r="D303" s="79"/>
    </row>
    <row r="304" ht="15.75" customHeight="1">
      <c r="D304" s="79"/>
    </row>
    <row r="305" ht="15.75" customHeight="1">
      <c r="D305" s="79"/>
    </row>
    <row r="306" ht="15.75" customHeight="1">
      <c r="D306" s="79"/>
    </row>
    <row r="307" ht="15.75" customHeight="1">
      <c r="D307" s="79"/>
    </row>
    <row r="308" ht="15.75" customHeight="1">
      <c r="D308" s="79"/>
    </row>
    <row r="309" ht="15.75" customHeight="1">
      <c r="D309" s="79"/>
    </row>
    <row r="310" ht="15.75" customHeight="1">
      <c r="D310" s="79"/>
    </row>
    <row r="311" ht="15.75" customHeight="1">
      <c r="D311" s="79"/>
    </row>
    <row r="312" ht="15.75" customHeight="1">
      <c r="D312" s="79"/>
    </row>
    <row r="313" ht="15.75" customHeight="1">
      <c r="D313" s="79"/>
    </row>
    <row r="314" ht="15.75" customHeight="1">
      <c r="D314" s="79"/>
    </row>
    <row r="315" ht="15.75" customHeight="1">
      <c r="D315" s="79"/>
    </row>
    <row r="316" ht="15.75" customHeight="1">
      <c r="D316" s="79"/>
    </row>
    <row r="317" ht="15.75" customHeight="1">
      <c r="D317" s="79"/>
    </row>
    <row r="318" ht="15.75" customHeight="1">
      <c r="D318" s="79"/>
    </row>
    <row r="319" ht="15.75" customHeight="1">
      <c r="D319" s="79"/>
    </row>
    <row r="320" ht="15.75" customHeight="1">
      <c r="D320" s="79"/>
    </row>
    <row r="321" ht="15.75" customHeight="1">
      <c r="D321" s="79"/>
    </row>
    <row r="322" ht="15.75" customHeight="1">
      <c r="D322" s="79"/>
    </row>
    <row r="323" ht="15.75" customHeight="1">
      <c r="D323" s="79"/>
    </row>
    <row r="324" ht="15.75" customHeight="1">
      <c r="D324" s="79"/>
    </row>
    <row r="325" ht="15.75" customHeight="1">
      <c r="D325" s="79"/>
    </row>
    <row r="326" ht="15.75" customHeight="1">
      <c r="D326" s="79"/>
    </row>
    <row r="327" ht="15.75" customHeight="1">
      <c r="D327" s="79"/>
    </row>
    <row r="328" ht="15.75" customHeight="1">
      <c r="D328" s="79"/>
    </row>
    <row r="329" ht="15.75" customHeight="1">
      <c r="D329" s="79"/>
    </row>
    <row r="330" ht="15.75" customHeight="1">
      <c r="D330" s="79"/>
    </row>
    <row r="331" ht="15.75" customHeight="1">
      <c r="D331" s="79"/>
    </row>
    <row r="332" ht="15.75" customHeight="1">
      <c r="D332" s="79"/>
    </row>
    <row r="333" ht="15.75" customHeight="1">
      <c r="D333" s="79"/>
    </row>
    <row r="334" ht="15.75" customHeight="1">
      <c r="D334" s="79"/>
    </row>
    <row r="335" ht="15.75" customHeight="1">
      <c r="D335" s="79"/>
    </row>
    <row r="336" ht="15.75" customHeight="1">
      <c r="D336" s="79"/>
    </row>
    <row r="337" ht="15.75" customHeight="1">
      <c r="D337" s="79"/>
    </row>
    <row r="338" ht="15.75" customHeight="1">
      <c r="D338" s="79"/>
    </row>
    <row r="339" ht="15.75" customHeight="1">
      <c r="D339" s="79"/>
    </row>
    <row r="340" ht="15.75" customHeight="1">
      <c r="D340" s="79"/>
    </row>
    <row r="341" ht="15.75" customHeight="1">
      <c r="D341" s="79"/>
    </row>
    <row r="342" ht="15.75" customHeight="1">
      <c r="D342" s="79"/>
    </row>
    <row r="343" ht="15.75" customHeight="1">
      <c r="D343" s="79"/>
    </row>
    <row r="344" ht="15.75" customHeight="1">
      <c r="D344" s="79"/>
    </row>
    <row r="345" ht="15.75" customHeight="1">
      <c r="D345" s="79"/>
    </row>
    <row r="346" ht="15.75" customHeight="1">
      <c r="D346" s="79"/>
    </row>
    <row r="347" ht="15.75" customHeight="1">
      <c r="D347" s="79"/>
    </row>
    <row r="348" ht="15.75" customHeight="1">
      <c r="D348" s="79"/>
    </row>
    <row r="349" ht="15.75" customHeight="1">
      <c r="D349" s="79"/>
    </row>
    <row r="350" ht="15.75" customHeight="1">
      <c r="D350" s="79"/>
    </row>
    <row r="351" ht="15.75" customHeight="1">
      <c r="D351" s="79"/>
    </row>
    <row r="352" ht="15.75" customHeight="1">
      <c r="D352" s="79"/>
    </row>
    <row r="353" ht="15.75" customHeight="1">
      <c r="D353" s="79"/>
    </row>
    <row r="354" ht="15.75" customHeight="1">
      <c r="D354" s="79"/>
    </row>
    <row r="355" ht="15.75" customHeight="1">
      <c r="D355" s="79"/>
    </row>
    <row r="356" ht="15.75" customHeight="1">
      <c r="D356" s="79"/>
    </row>
    <row r="357" ht="15.75" customHeight="1">
      <c r="D357" s="79"/>
    </row>
    <row r="358" ht="15.75" customHeight="1">
      <c r="D358" s="79"/>
    </row>
    <row r="359" ht="15.75" customHeight="1">
      <c r="D359" s="79"/>
    </row>
    <row r="360" ht="15.75" customHeight="1">
      <c r="D360" s="79"/>
    </row>
    <row r="361" ht="15.75" customHeight="1">
      <c r="D361" s="79"/>
    </row>
    <row r="362" ht="15.75" customHeight="1">
      <c r="D362" s="79"/>
    </row>
    <row r="363" ht="15.75" customHeight="1">
      <c r="D363" s="79"/>
    </row>
    <row r="364" ht="15.75" customHeight="1">
      <c r="D364" s="79"/>
    </row>
    <row r="365" ht="15.75" customHeight="1">
      <c r="D365" s="79"/>
    </row>
    <row r="366" ht="15.75" customHeight="1">
      <c r="D366" s="79"/>
    </row>
    <row r="367" ht="15.75" customHeight="1">
      <c r="D367" s="79"/>
    </row>
    <row r="368" ht="15.75" customHeight="1">
      <c r="D368" s="79"/>
    </row>
    <row r="369" ht="15.75" customHeight="1">
      <c r="D369" s="79"/>
    </row>
    <row r="370" ht="15.75" customHeight="1">
      <c r="D370" s="79"/>
    </row>
    <row r="371" ht="15.75" customHeight="1">
      <c r="D371" s="79"/>
    </row>
    <row r="372" ht="15.75" customHeight="1">
      <c r="D372" s="79"/>
    </row>
    <row r="373" ht="15.75" customHeight="1">
      <c r="D373" s="79"/>
    </row>
    <row r="374" ht="15.75" customHeight="1">
      <c r="D374" s="79"/>
    </row>
    <row r="375" ht="15.75" customHeight="1">
      <c r="D375" s="79"/>
    </row>
    <row r="376" ht="15.75" customHeight="1">
      <c r="D376" s="79"/>
    </row>
    <row r="377" ht="15.75" customHeight="1">
      <c r="D377" s="79"/>
    </row>
    <row r="378" ht="15.75" customHeight="1">
      <c r="D378" s="79"/>
    </row>
    <row r="379" ht="15.75" customHeight="1">
      <c r="D379" s="79"/>
    </row>
    <row r="380" ht="15.75" customHeight="1">
      <c r="D380" s="79"/>
    </row>
    <row r="381" ht="15.75" customHeight="1">
      <c r="D381" s="79"/>
    </row>
    <row r="382" ht="15.75" customHeight="1">
      <c r="D382" s="79"/>
    </row>
    <row r="383" ht="15.75" customHeight="1">
      <c r="D383" s="79"/>
    </row>
    <row r="384" ht="15.75" customHeight="1">
      <c r="D384" s="79"/>
    </row>
    <row r="385" ht="15.75" customHeight="1">
      <c r="D385" s="79"/>
    </row>
    <row r="386" ht="15.75" customHeight="1">
      <c r="D386" s="79"/>
    </row>
    <row r="387" ht="15.75" customHeight="1">
      <c r="D387" s="79"/>
    </row>
    <row r="388" ht="15.75" customHeight="1">
      <c r="D388" s="79"/>
    </row>
    <row r="389" ht="15.75" customHeight="1">
      <c r="D389" s="79"/>
    </row>
    <row r="390" ht="15.75" customHeight="1">
      <c r="D390" s="79"/>
    </row>
    <row r="391" ht="15.75" customHeight="1">
      <c r="D391" s="79"/>
    </row>
    <row r="392" ht="15.75" customHeight="1">
      <c r="D392" s="79"/>
    </row>
    <row r="393" ht="15.75" customHeight="1">
      <c r="D393" s="79"/>
    </row>
    <row r="394" ht="15.75" customHeight="1">
      <c r="D394" s="79"/>
    </row>
    <row r="395" ht="15.75" customHeight="1">
      <c r="D395" s="79"/>
    </row>
    <row r="396" ht="15.75" customHeight="1">
      <c r="D396" s="79"/>
    </row>
    <row r="397" ht="15.75" customHeight="1">
      <c r="D397" s="79"/>
    </row>
    <row r="398" ht="15.75" customHeight="1">
      <c r="D398" s="79"/>
    </row>
    <row r="399" ht="15.75" customHeight="1">
      <c r="D399" s="79"/>
    </row>
    <row r="400" ht="15.75" customHeight="1">
      <c r="D400" s="79"/>
    </row>
    <row r="401" ht="15.75" customHeight="1">
      <c r="D401" s="79"/>
    </row>
    <row r="402" ht="15.75" customHeight="1">
      <c r="D402" s="79"/>
    </row>
    <row r="403" ht="15.75" customHeight="1">
      <c r="D403" s="79"/>
    </row>
    <row r="404" ht="15.75" customHeight="1">
      <c r="D404" s="79"/>
    </row>
    <row r="405" ht="15.75" customHeight="1">
      <c r="D405" s="79"/>
    </row>
    <row r="406" ht="15.75" customHeight="1">
      <c r="D406" s="79"/>
    </row>
    <row r="407" ht="15.75" customHeight="1">
      <c r="D407" s="79"/>
    </row>
    <row r="408" ht="15.75" customHeight="1">
      <c r="D408" s="79"/>
    </row>
    <row r="409" ht="15.75" customHeight="1">
      <c r="D409" s="79"/>
    </row>
    <row r="410" ht="15.75" customHeight="1">
      <c r="D410" s="79"/>
    </row>
    <row r="411" ht="15.75" customHeight="1">
      <c r="D411" s="79"/>
    </row>
    <row r="412" ht="15.75" customHeight="1">
      <c r="D412" s="79"/>
    </row>
    <row r="413" ht="15.75" customHeight="1">
      <c r="D413" s="79"/>
    </row>
    <row r="414" ht="15.75" customHeight="1">
      <c r="D414" s="79"/>
    </row>
    <row r="415" ht="15.75" customHeight="1">
      <c r="D415" s="79"/>
    </row>
    <row r="416" ht="15.75" customHeight="1">
      <c r="D416" s="79"/>
    </row>
    <row r="417" ht="15.75" customHeight="1">
      <c r="D417" s="79"/>
    </row>
    <row r="418" ht="15.75" customHeight="1">
      <c r="D418" s="79"/>
    </row>
    <row r="419" ht="15.75" customHeight="1">
      <c r="D419" s="79"/>
    </row>
    <row r="420" ht="15.75" customHeight="1">
      <c r="D420" s="79"/>
    </row>
    <row r="421" ht="15.75" customHeight="1">
      <c r="D421" s="79"/>
    </row>
    <row r="422" ht="15.75" customHeight="1">
      <c r="D422" s="79"/>
    </row>
    <row r="423" ht="15.75" customHeight="1">
      <c r="D423" s="79"/>
    </row>
    <row r="424" ht="15.75" customHeight="1">
      <c r="D424" s="79"/>
    </row>
    <row r="425" ht="15.75" customHeight="1">
      <c r="D425" s="79"/>
    </row>
    <row r="426" ht="15.75" customHeight="1">
      <c r="D426" s="79"/>
    </row>
    <row r="427" ht="15.75" customHeight="1">
      <c r="D427" s="79"/>
    </row>
    <row r="428" ht="15.75" customHeight="1">
      <c r="D428" s="79"/>
    </row>
    <row r="429" ht="15.75" customHeight="1">
      <c r="D429" s="79"/>
    </row>
    <row r="430" ht="15.75" customHeight="1">
      <c r="D430" s="79"/>
    </row>
    <row r="431" ht="15.75" customHeight="1">
      <c r="D431" s="79"/>
    </row>
    <row r="432" ht="15.75" customHeight="1">
      <c r="D432" s="79"/>
    </row>
    <row r="433" ht="15.75" customHeight="1">
      <c r="D433" s="79"/>
    </row>
    <row r="434" ht="15.75" customHeight="1">
      <c r="D434" s="79"/>
    </row>
    <row r="435" ht="15.75" customHeight="1">
      <c r="D435" s="79"/>
    </row>
    <row r="436" ht="15.75" customHeight="1">
      <c r="D436" s="79"/>
    </row>
    <row r="437" ht="15.75" customHeight="1">
      <c r="D437" s="79"/>
    </row>
    <row r="438" ht="15.75" customHeight="1">
      <c r="D438" s="79"/>
    </row>
    <row r="439" ht="15.75" customHeight="1">
      <c r="D439" s="79"/>
    </row>
    <row r="440" ht="15.75" customHeight="1">
      <c r="D440" s="79"/>
    </row>
    <row r="441" ht="15.75" customHeight="1">
      <c r="D441" s="79"/>
    </row>
    <row r="442" ht="15.75" customHeight="1">
      <c r="D442" s="79"/>
    </row>
    <row r="443" ht="15.75" customHeight="1">
      <c r="D443" s="79"/>
    </row>
    <row r="444" ht="15.75" customHeight="1">
      <c r="D444" s="79"/>
    </row>
    <row r="445" ht="15.75" customHeight="1">
      <c r="D445" s="79"/>
    </row>
    <row r="446" ht="15.75" customHeight="1">
      <c r="D446" s="79"/>
    </row>
    <row r="447" ht="15.75" customHeight="1">
      <c r="D447" s="79"/>
    </row>
    <row r="448" ht="15.75" customHeight="1">
      <c r="D448" s="79"/>
    </row>
    <row r="449" ht="15.75" customHeight="1">
      <c r="D449" s="79"/>
    </row>
    <row r="450" ht="15.75" customHeight="1">
      <c r="D450" s="79"/>
    </row>
    <row r="451" ht="15.75" customHeight="1">
      <c r="D451" s="79"/>
    </row>
    <row r="452" ht="15.75" customHeight="1">
      <c r="D452" s="79"/>
    </row>
    <row r="453" ht="15.75" customHeight="1">
      <c r="D453" s="79"/>
    </row>
    <row r="454" ht="15.75" customHeight="1">
      <c r="D454" s="79"/>
    </row>
    <row r="455" ht="15.75" customHeight="1">
      <c r="D455" s="79"/>
    </row>
    <row r="456" ht="15.75" customHeight="1">
      <c r="D456" s="79"/>
    </row>
    <row r="457" ht="15.75" customHeight="1">
      <c r="D457" s="79"/>
    </row>
    <row r="458" ht="15.75" customHeight="1">
      <c r="D458" s="79"/>
    </row>
    <row r="459" ht="15.75" customHeight="1">
      <c r="D459" s="79"/>
    </row>
    <row r="460" ht="15.75" customHeight="1">
      <c r="D460" s="79"/>
    </row>
    <row r="461" ht="15.75" customHeight="1">
      <c r="D461" s="79"/>
    </row>
    <row r="462" ht="15.75" customHeight="1">
      <c r="D462" s="79"/>
    </row>
    <row r="463" ht="15.75" customHeight="1">
      <c r="D463" s="79"/>
    </row>
    <row r="464" ht="15.75" customHeight="1">
      <c r="D464" s="79"/>
    </row>
    <row r="465" ht="15.75" customHeight="1">
      <c r="D465" s="79"/>
    </row>
    <row r="466" ht="15.75" customHeight="1">
      <c r="D466" s="79"/>
    </row>
    <row r="467" ht="15.75" customHeight="1">
      <c r="D467" s="79"/>
    </row>
    <row r="468" ht="15.75" customHeight="1">
      <c r="D468" s="79"/>
    </row>
    <row r="469" ht="15.75" customHeight="1">
      <c r="D469" s="79"/>
    </row>
    <row r="470" ht="15.75" customHeight="1">
      <c r="D470" s="79"/>
    </row>
    <row r="471" ht="15.75" customHeight="1">
      <c r="D471" s="79"/>
    </row>
    <row r="472" ht="15.75" customHeight="1">
      <c r="D472" s="79"/>
    </row>
    <row r="473" ht="15.75" customHeight="1">
      <c r="D473" s="79"/>
    </row>
    <row r="474" ht="15.75" customHeight="1">
      <c r="D474" s="79"/>
    </row>
    <row r="475" ht="15.75" customHeight="1">
      <c r="D475" s="79"/>
    </row>
    <row r="476" ht="15.75" customHeight="1">
      <c r="D476" s="79"/>
    </row>
    <row r="477" ht="15.75" customHeight="1">
      <c r="D477" s="79"/>
    </row>
    <row r="478" ht="15.75" customHeight="1">
      <c r="D478" s="79"/>
    </row>
    <row r="479" ht="15.75" customHeight="1">
      <c r="D479" s="79"/>
    </row>
    <row r="480" ht="15.75" customHeight="1">
      <c r="D480" s="79"/>
    </row>
    <row r="481" ht="15.75" customHeight="1">
      <c r="D481" s="79"/>
    </row>
    <row r="482" ht="15.75" customHeight="1">
      <c r="D482" s="79"/>
    </row>
    <row r="483" ht="15.75" customHeight="1">
      <c r="D483" s="79"/>
    </row>
    <row r="484" ht="15.75" customHeight="1">
      <c r="D484" s="79"/>
    </row>
    <row r="485" ht="15.75" customHeight="1">
      <c r="D485" s="79"/>
    </row>
    <row r="486" ht="15.75" customHeight="1">
      <c r="D486" s="79"/>
    </row>
    <row r="487" ht="15.75" customHeight="1">
      <c r="D487" s="79"/>
    </row>
    <row r="488" ht="15.75" customHeight="1">
      <c r="D488" s="79"/>
    </row>
    <row r="489" ht="15.75" customHeight="1">
      <c r="D489" s="79"/>
    </row>
    <row r="490" ht="15.75" customHeight="1">
      <c r="D490" s="79"/>
    </row>
    <row r="491" ht="15.75" customHeight="1">
      <c r="D491" s="79"/>
    </row>
    <row r="492" ht="15.75" customHeight="1">
      <c r="D492" s="79"/>
    </row>
    <row r="493" ht="15.75" customHeight="1">
      <c r="D493" s="79"/>
    </row>
    <row r="494" ht="15.75" customHeight="1">
      <c r="D494" s="79"/>
    </row>
    <row r="495" ht="15.75" customHeight="1">
      <c r="D495" s="79"/>
    </row>
    <row r="496" ht="15.75" customHeight="1">
      <c r="D496" s="79"/>
    </row>
    <row r="497" ht="15.75" customHeight="1">
      <c r="D497" s="79"/>
    </row>
    <row r="498" ht="15.75" customHeight="1">
      <c r="D498" s="79"/>
    </row>
    <row r="499" ht="15.75" customHeight="1">
      <c r="D499" s="79"/>
    </row>
    <row r="500" ht="15.75" customHeight="1">
      <c r="D500" s="79"/>
    </row>
    <row r="501" ht="15.75" customHeight="1">
      <c r="D501" s="79"/>
    </row>
    <row r="502" ht="15.75" customHeight="1">
      <c r="D502" s="79"/>
    </row>
    <row r="503" ht="15.75" customHeight="1">
      <c r="D503" s="79"/>
    </row>
    <row r="504" ht="15.75" customHeight="1">
      <c r="D504" s="79"/>
    </row>
    <row r="505" ht="15.75" customHeight="1">
      <c r="D505" s="79"/>
    </row>
    <row r="506" ht="15.75" customHeight="1">
      <c r="D506" s="79"/>
    </row>
    <row r="507" ht="15.75" customHeight="1">
      <c r="D507" s="79"/>
    </row>
    <row r="508" ht="15.75" customHeight="1">
      <c r="D508" s="79"/>
    </row>
    <row r="509" ht="15.75" customHeight="1">
      <c r="D509" s="79"/>
    </row>
    <row r="510" ht="15.75" customHeight="1">
      <c r="D510" s="79"/>
    </row>
    <row r="511" ht="15.75" customHeight="1">
      <c r="D511" s="79"/>
    </row>
    <row r="512" ht="15.75" customHeight="1">
      <c r="D512" s="79"/>
    </row>
    <row r="513" ht="15.75" customHeight="1">
      <c r="D513" s="79"/>
    </row>
    <row r="514" ht="15.75" customHeight="1">
      <c r="D514" s="79"/>
    </row>
    <row r="515" ht="15.75" customHeight="1">
      <c r="D515" s="79"/>
    </row>
    <row r="516" ht="15.75" customHeight="1">
      <c r="D516" s="79"/>
    </row>
    <row r="517" ht="15.75" customHeight="1">
      <c r="D517" s="79"/>
    </row>
    <row r="518" ht="15.75" customHeight="1">
      <c r="D518" s="79"/>
    </row>
    <row r="519" ht="15.75" customHeight="1">
      <c r="D519" s="79"/>
    </row>
    <row r="520" ht="15.75" customHeight="1">
      <c r="D520" s="79"/>
    </row>
    <row r="521" ht="15.75" customHeight="1">
      <c r="D521" s="79"/>
    </row>
    <row r="522" ht="15.75" customHeight="1">
      <c r="D522" s="79"/>
    </row>
    <row r="523" ht="15.75" customHeight="1">
      <c r="D523" s="79"/>
    </row>
    <row r="524" ht="15.75" customHeight="1">
      <c r="D524" s="79"/>
    </row>
    <row r="525" ht="15.75" customHeight="1">
      <c r="D525" s="79"/>
    </row>
    <row r="526" ht="15.75" customHeight="1">
      <c r="D526" s="79"/>
    </row>
    <row r="527" ht="15.75" customHeight="1">
      <c r="D527" s="79"/>
    </row>
    <row r="528" ht="15.75" customHeight="1">
      <c r="D528" s="79"/>
    </row>
    <row r="529" ht="15.75" customHeight="1">
      <c r="D529" s="79"/>
    </row>
    <row r="530" ht="15.75" customHeight="1">
      <c r="D530" s="79"/>
    </row>
    <row r="531" ht="15.75" customHeight="1">
      <c r="D531" s="79"/>
    </row>
    <row r="532" ht="15.75" customHeight="1">
      <c r="D532" s="79"/>
    </row>
    <row r="533" ht="15.75" customHeight="1">
      <c r="D533" s="79"/>
    </row>
    <row r="534" ht="15.75" customHeight="1">
      <c r="D534" s="79"/>
    </row>
    <row r="535" ht="15.75" customHeight="1">
      <c r="D535" s="79"/>
    </row>
    <row r="536" ht="15.75" customHeight="1">
      <c r="D536" s="79"/>
    </row>
    <row r="537" ht="15.75" customHeight="1">
      <c r="D537" s="79"/>
    </row>
    <row r="538" ht="15.75" customHeight="1">
      <c r="D538" s="79"/>
    </row>
    <row r="539" ht="15.75" customHeight="1">
      <c r="D539" s="79"/>
    </row>
    <row r="540" ht="15.75" customHeight="1">
      <c r="D540" s="79"/>
    </row>
    <row r="541" ht="15.75" customHeight="1">
      <c r="D541" s="79"/>
    </row>
    <row r="542" ht="15.75" customHeight="1">
      <c r="D542" s="79"/>
    </row>
    <row r="543" ht="15.75" customHeight="1">
      <c r="D543" s="79"/>
    </row>
    <row r="544" ht="15.75" customHeight="1">
      <c r="D544" s="79"/>
    </row>
    <row r="545" ht="15.75" customHeight="1">
      <c r="D545" s="79"/>
    </row>
    <row r="546" ht="15.75" customHeight="1">
      <c r="D546" s="79"/>
    </row>
    <row r="547" ht="15.75" customHeight="1">
      <c r="D547" s="79"/>
    </row>
    <row r="548" ht="15.75" customHeight="1">
      <c r="D548" s="79"/>
    </row>
    <row r="549" ht="15.75" customHeight="1">
      <c r="D549" s="79"/>
    </row>
    <row r="550" ht="15.75" customHeight="1">
      <c r="D550" s="79"/>
    </row>
    <row r="551" ht="15.75" customHeight="1">
      <c r="D551" s="79"/>
    </row>
    <row r="552" ht="15.75" customHeight="1">
      <c r="D552" s="79"/>
    </row>
    <row r="553" ht="15.75" customHeight="1">
      <c r="D553" s="79"/>
    </row>
    <row r="554" ht="15.75" customHeight="1">
      <c r="D554" s="79"/>
    </row>
    <row r="555" ht="15.75" customHeight="1">
      <c r="D555" s="79"/>
    </row>
    <row r="556" ht="15.75" customHeight="1">
      <c r="D556" s="79"/>
    </row>
    <row r="557" ht="15.75" customHeight="1">
      <c r="D557" s="79"/>
    </row>
    <row r="558" ht="15.75" customHeight="1">
      <c r="D558" s="79"/>
    </row>
    <row r="559" ht="15.75" customHeight="1">
      <c r="D559" s="79"/>
    </row>
    <row r="560" ht="15.75" customHeight="1">
      <c r="D560" s="79"/>
    </row>
    <row r="561" ht="15.75" customHeight="1">
      <c r="D561" s="79"/>
    </row>
    <row r="562" ht="15.75" customHeight="1">
      <c r="D562" s="79"/>
    </row>
    <row r="563" ht="15.75" customHeight="1">
      <c r="D563" s="79"/>
    </row>
    <row r="564" ht="15.75" customHeight="1">
      <c r="D564" s="79"/>
    </row>
    <row r="565" ht="15.75" customHeight="1">
      <c r="D565" s="79"/>
    </row>
    <row r="566" ht="15.75" customHeight="1">
      <c r="D566" s="79"/>
    </row>
    <row r="567" ht="15.75" customHeight="1">
      <c r="D567" s="79"/>
    </row>
    <row r="568" ht="15.75" customHeight="1">
      <c r="D568" s="79"/>
    </row>
    <row r="569" ht="15.75" customHeight="1">
      <c r="D569" s="79"/>
    </row>
    <row r="570" ht="15.75" customHeight="1">
      <c r="D570" s="79"/>
    </row>
    <row r="571" ht="15.75" customHeight="1">
      <c r="D571" s="79"/>
    </row>
    <row r="572" ht="15.75" customHeight="1">
      <c r="D572" s="79"/>
    </row>
    <row r="573" ht="15.75" customHeight="1">
      <c r="D573" s="79"/>
    </row>
    <row r="574" ht="15.75" customHeight="1">
      <c r="D574" s="79"/>
    </row>
    <row r="575" ht="15.75" customHeight="1">
      <c r="D575" s="79"/>
    </row>
    <row r="576" ht="15.75" customHeight="1">
      <c r="D576" s="79"/>
    </row>
    <row r="577" ht="15.75" customHeight="1">
      <c r="D577" s="79"/>
    </row>
    <row r="578" ht="15.75" customHeight="1">
      <c r="D578" s="79"/>
    </row>
    <row r="579" ht="15.75" customHeight="1">
      <c r="D579" s="79"/>
    </row>
    <row r="580" ht="15.75" customHeight="1">
      <c r="D580" s="79"/>
    </row>
    <row r="581" ht="15.75" customHeight="1">
      <c r="D581" s="79"/>
    </row>
    <row r="582" ht="15.75" customHeight="1">
      <c r="D582" s="79"/>
    </row>
    <row r="583" ht="15.75" customHeight="1">
      <c r="D583" s="79"/>
    </row>
    <row r="584" ht="15.75" customHeight="1">
      <c r="D584" s="79"/>
    </row>
    <row r="585" ht="15.75" customHeight="1">
      <c r="D585" s="79"/>
    </row>
    <row r="586" ht="15.75" customHeight="1">
      <c r="D586" s="79"/>
    </row>
    <row r="587" ht="15.75" customHeight="1">
      <c r="D587" s="79"/>
    </row>
    <row r="588" ht="15.75" customHeight="1">
      <c r="D588" s="79"/>
    </row>
    <row r="589" ht="15.75" customHeight="1">
      <c r="D589" s="79"/>
    </row>
    <row r="590" ht="15.75" customHeight="1">
      <c r="D590" s="79"/>
    </row>
    <row r="591" ht="15.75" customHeight="1">
      <c r="D591" s="79"/>
    </row>
    <row r="592" ht="15.75" customHeight="1">
      <c r="D592" s="79"/>
    </row>
    <row r="593" ht="15.75" customHeight="1">
      <c r="D593" s="79"/>
    </row>
    <row r="594" ht="15.75" customHeight="1">
      <c r="D594" s="79"/>
    </row>
    <row r="595" ht="15.75" customHeight="1">
      <c r="D595" s="79"/>
    </row>
    <row r="596" ht="15.75" customHeight="1">
      <c r="D596" s="79"/>
    </row>
    <row r="597" ht="15.75" customHeight="1">
      <c r="D597" s="79"/>
    </row>
    <row r="598" ht="15.75" customHeight="1">
      <c r="D598" s="79"/>
    </row>
    <row r="599" ht="15.75" customHeight="1">
      <c r="D599" s="79"/>
    </row>
    <row r="600" ht="15.75" customHeight="1">
      <c r="D600" s="79"/>
    </row>
    <row r="601" ht="15.75" customHeight="1">
      <c r="D601" s="79"/>
    </row>
    <row r="602" ht="15.75" customHeight="1">
      <c r="D602" s="79"/>
    </row>
    <row r="603" ht="15.75" customHeight="1">
      <c r="D603" s="79"/>
    </row>
    <row r="604" ht="15.75" customHeight="1">
      <c r="D604" s="79"/>
    </row>
    <row r="605" ht="15.75" customHeight="1">
      <c r="D605" s="79"/>
    </row>
    <row r="606" ht="15.75" customHeight="1">
      <c r="D606" s="79"/>
    </row>
    <row r="607" ht="15.75" customHeight="1">
      <c r="D607" s="79"/>
    </row>
    <row r="608" ht="15.75" customHeight="1">
      <c r="D608" s="79"/>
    </row>
    <row r="609" ht="15.75" customHeight="1">
      <c r="D609" s="79"/>
    </row>
    <row r="610" ht="15.75" customHeight="1">
      <c r="D610" s="79"/>
    </row>
    <row r="611" ht="15.75" customHeight="1">
      <c r="D611" s="79"/>
    </row>
    <row r="612" ht="15.75" customHeight="1">
      <c r="D612" s="79"/>
    </row>
    <row r="613" ht="15.75" customHeight="1">
      <c r="D613" s="79"/>
    </row>
    <row r="614" ht="15.75" customHeight="1">
      <c r="D614" s="79"/>
    </row>
    <row r="615" ht="15.75" customHeight="1">
      <c r="D615" s="79"/>
    </row>
    <row r="616" ht="15.75" customHeight="1">
      <c r="D616" s="79"/>
    </row>
    <row r="617" ht="15.75" customHeight="1">
      <c r="D617" s="79"/>
    </row>
    <row r="618" ht="15.75" customHeight="1">
      <c r="D618" s="79"/>
    </row>
    <row r="619" ht="15.75" customHeight="1">
      <c r="D619" s="79"/>
    </row>
    <row r="620" ht="15.75" customHeight="1">
      <c r="D620" s="79"/>
    </row>
    <row r="621" ht="15.75" customHeight="1">
      <c r="D621" s="79"/>
    </row>
    <row r="622" ht="15.75" customHeight="1">
      <c r="D622" s="79"/>
    </row>
    <row r="623" ht="15.75" customHeight="1">
      <c r="D623" s="79"/>
    </row>
    <row r="624" ht="15.75" customHeight="1">
      <c r="D624" s="79"/>
    </row>
    <row r="625" ht="15.75" customHeight="1">
      <c r="D625" s="79"/>
    </row>
    <row r="626" ht="15.75" customHeight="1">
      <c r="D626" s="79"/>
    </row>
    <row r="627" ht="15.75" customHeight="1">
      <c r="D627" s="79"/>
    </row>
    <row r="628" ht="15.75" customHeight="1">
      <c r="D628" s="79"/>
    </row>
    <row r="629" ht="15.75" customHeight="1">
      <c r="D629" s="79"/>
    </row>
    <row r="630" ht="15.75" customHeight="1">
      <c r="D630" s="79"/>
    </row>
    <row r="631" ht="15.75" customHeight="1">
      <c r="D631" s="79"/>
    </row>
    <row r="632" ht="15.75" customHeight="1">
      <c r="D632" s="79"/>
    </row>
    <row r="633" ht="15.75" customHeight="1">
      <c r="D633" s="79"/>
    </row>
    <row r="634" ht="15.75" customHeight="1">
      <c r="D634" s="79"/>
    </row>
    <row r="635" ht="15.75" customHeight="1">
      <c r="D635" s="79"/>
    </row>
    <row r="636" ht="15.75" customHeight="1">
      <c r="D636" s="79"/>
    </row>
    <row r="637" ht="15.75" customHeight="1">
      <c r="D637" s="79"/>
    </row>
    <row r="638" ht="15.75" customHeight="1">
      <c r="D638" s="79"/>
    </row>
    <row r="639" ht="15.75" customHeight="1">
      <c r="D639" s="79"/>
    </row>
    <row r="640" ht="15.75" customHeight="1">
      <c r="D640" s="79"/>
    </row>
    <row r="641" ht="15.75" customHeight="1">
      <c r="D641" s="79"/>
    </row>
    <row r="642" ht="15.75" customHeight="1">
      <c r="D642" s="79"/>
    </row>
    <row r="643" ht="15.75" customHeight="1">
      <c r="D643" s="79"/>
    </row>
    <row r="644" ht="15.75" customHeight="1">
      <c r="D644" s="79"/>
    </row>
    <row r="645" ht="15.75" customHeight="1">
      <c r="D645" s="79"/>
    </row>
    <row r="646" ht="15.75" customHeight="1">
      <c r="D646" s="79"/>
    </row>
    <row r="647" ht="15.75" customHeight="1">
      <c r="D647" s="79"/>
    </row>
    <row r="648" ht="15.75" customHeight="1">
      <c r="D648" s="79"/>
    </row>
    <row r="649" ht="15.75" customHeight="1">
      <c r="D649" s="79"/>
    </row>
    <row r="650" ht="15.75" customHeight="1">
      <c r="D650" s="79"/>
    </row>
    <row r="651" ht="15.75" customHeight="1">
      <c r="D651" s="79"/>
    </row>
    <row r="652" ht="15.75" customHeight="1">
      <c r="D652" s="79"/>
    </row>
    <row r="653" ht="15.75" customHeight="1">
      <c r="D653" s="79"/>
    </row>
    <row r="654" ht="15.75" customHeight="1">
      <c r="D654" s="79"/>
    </row>
    <row r="655" ht="15.75" customHeight="1">
      <c r="D655" s="79"/>
    </row>
    <row r="656" ht="15.75" customHeight="1">
      <c r="D656" s="79"/>
    </row>
    <row r="657" ht="15.75" customHeight="1">
      <c r="D657" s="79"/>
    </row>
    <row r="658" ht="15.75" customHeight="1">
      <c r="D658" s="79"/>
    </row>
    <row r="659" ht="15.75" customHeight="1">
      <c r="D659" s="79"/>
    </row>
    <row r="660" ht="15.75" customHeight="1">
      <c r="D660" s="79"/>
    </row>
    <row r="661" ht="15.75" customHeight="1">
      <c r="D661" s="79"/>
    </row>
    <row r="662" ht="15.75" customHeight="1">
      <c r="D662" s="79"/>
    </row>
    <row r="663" ht="15.75" customHeight="1">
      <c r="D663" s="79"/>
    </row>
    <row r="664" ht="15.75" customHeight="1">
      <c r="D664" s="79"/>
    </row>
    <row r="665" ht="15.75" customHeight="1">
      <c r="D665" s="79"/>
    </row>
    <row r="666" ht="15.75" customHeight="1">
      <c r="D666" s="79"/>
    </row>
    <row r="667" ht="15.75" customHeight="1">
      <c r="D667" s="79"/>
    </row>
    <row r="668" ht="15.75" customHeight="1">
      <c r="D668" s="79"/>
    </row>
    <row r="669" ht="15.75" customHeight="1">
      <c r="D669" s="79"/>
    </row>
    <row r="670" ht="15.75" customHeight="1">
      <c r="D670" s="79"/>
    </row>
    <row r="671" ht="15.75" customHeight="1">
      <c r="D671" s="79"/>
    </row>
    <row r="672" ht="15.75" customHeight="1">
      <c r="D672" s="79"/>
    </row>
    <row r="673" ht="15.75" customHeight="1">
      <c r="D673" s="79"/>
    </row>
    <row r="674" ht="15.75" customHeight="1">
      <c r="D674" s="79"/>
    </row>
    <row r="675" ht="15.75" customHeight="1">
      <c r="D675" s="79"/>
    </row>
    <row r="676" ht="15.75" customHeight="1">
      <c r="D676" s="79"/>
    </row>
    <row r="677" ht="15.75" customHeight="1">
      <c r="D677" s="79"/>
    </row>
    <row r="678" ht="15.75" customHeight="1">
      <c r="D678" s="79"/>
    </row>
    <row r="679" ht="15.75" customHeight="1">
      <c r="D679" s="79"/>
    </row>
    <row r="680" ht="15.75" customHeight="1">
      <c r="D680" s="79"/>
    </row>
    <row r="681" ht="15.75" customHeight="1">
      <c r="D681" s="79"/>
    </row>
    <row r="682" ht="15.75" customHeight="1">
      <c r="D682" s="79"/>
    </row>
    <row r="683" ht="15.75" customHeight="1">
      <c r="D683" s="79"/>
    </row>
    <row r="684" ht="15.75" customHeight="1">
      <c r="D684" s="79"/>
    </row>
    <row r="685" ht="15.75" customHeight="1">
      <c r="D685" s="79"/>
    </row>
    <row r="686" ht="15.75" customHeight="1">
      <c r="D686" s="79"/>
    </row>
    <row r="687" ht="15.75" customHeight="1">
      <c r="D687" s="79"/>
    </row>
    <row r="688" ht="15.75" customHeight="1">
      <c r="D688" s="79"/>
    </row>
    <row r="689" ht="15.75" customHeight="1">
      <c r="D689" s="79"/>
    </row>
    <row r="690" ht="15.75" customHeight="1">
      <c r="D690" s="79"/>
    </row>
    <row r="691" ht="15.75" customHeight="1">
      <c r="D691" s="79"/>
    </row>
    <row r="692" ht="15.75" customHeight="1">
      <c r="D692" s="79"/>
    </row>
    <row r="693" ht="15.75" customHeight="1">
      <c r="D693" s="79"/>
    </row>
    <row r="694" ht="15.75" customHeight="1">
      <c r="D694" s="79"/>
    </row>
    <row r="695" ht="15.75" customHeight="1">
      <c r="D695" s="79"/>
    </row>
    <row r="696" ht="15.75" customHeight="1">
      <c r="D696" s="79"/>
    </row>
    <row r="697" ht="15.75" customHeight="1">
      <c r="D697" s="79"/>
    </row>
    <row r="698" ht="15.75" customHeight="1">
      <c r="D698" s="79"/>
    </row>
    <row r="699" ht="15.75" customHeight="1">
      <c r="D699" s="79"/>
    </row>
    <row r="700" ht="15.75" customHeight="1">
      <c r="D700" s="79"/>
    </row>
    <row r="701" ht="15.75" customHeight="1">
      <c r="D701" s="79"/>
    </row>
    <row r="702" ht="15.75" customHeight="1">
      <c r="D702" s="79"/>
    </row>
    <row r="703" ht="15.75" customHeight="1">
      <c r="D703" s="79"/>
    </row>
    <row r="704" ht="15.75" customHeight="1">
      <c r="D704" s="79"/>
    </row>
    <row r="705" ht="15.75" customHeight="1">
      <c r="D705" s="79"/>
    </row>
    <row r="706" ht="15.75" customHeight="1">
      <c r="D706" s="79"/>
    </row>
    <row r="707" ht="15.75" customHeight="1">
      <c r="D707" s="79"/>
    </row>
    <row r="708" ht="15.75" customHeight="1">
      <c r="D708" s="79"/>
    </row>
    <row r="709" ht="15.75" customHeight="1">
      <c r="D709" s="79"/>
    </row>
    <row r="710" ht="15.75" customHeight="1">
      <c r="D710" s="79"/>
    </row>
    <row r="711" ht="15.75" customHeight="1">
      <c r="D711" s="79"/>
    </row>
    <row r="712" ht="15.75" customHeight="1">
      <c r="D712" s="79"/>
    </row>
    <row r="713" ht="15.75" customHeight="1">
      <c r="D713" s="79"/>
    </row>
    <row r="714" ht="15.75" customHeight="1">
      <c r="D714" s="79"/>
    </row>
    <row r="715" ht="15.75" customHeight="1">
      <c r="D715" s="79"/>
    </row>
    <row r="716" ht="15.75" customHeight="1">
      <c r="D716" s="79"/>
    </row>
    <row r="717" ht="15.75" customHeight="1">
      <c r="D717" s="79"/>
    </row>
    <row r="718" ht="15.75" customHeight="1">
      <c r="D718" s="79"/>
    </row>
    <row r="719" ht="15.75" customHeight="1">
      <c r="D719" s="79"/>
    </row>
    <row r="720" ht="15.75" customHeight="1">
      <c r="D720" s="79"/>
    </row>
    <row r="721" ht="15.75" customHeight="1">
      <c r="D721" s="79"/>
    </row>
    <row r="722" ht="15.75" customHeight="1">
      <c r="D722" s="79"/>
    </row>
    <row r="723" ht="15.75" customHeight="1">
      <c r="D723" s="79"/>
    </row>
    <row r="724" ht="15.75" customHeight="1">
      <c r="D724" s="79"/>
    </row>
    <row r="725" ht="15.75" customHeight="1">
      <c r="D725" s="79"/>
    </row>
    <row r="726" ht="15.75" customHeight="1">
      <c r="D726" s="79"/>
    </row>
    <row r="727" ht="15.75" customHeight="1">
      <c r="D727" s="79"/>
    </row>
    <row r="728" ht="15.75" customHeight="1">
      <c r="D728" s="79"/>
    </row>
    <row r="729" ht="15.75" customHeight="1">
      <c r="D729" s="79"/>
    </row>
    <row r="730" ht="15.75" customHeight="1">
      <c r="D730" s="79"/>
    </row>
    <row r="731" ht="15.75" customHeight="1">
      <c r="D731" s="79"/>
    </row>
    <row r="732" ht="15.75" customHeight="1">
      <c r="D732" s="79"/>
    </row>
    <row r="733" ht="15.75" customHeight="1">
      <c r="D733" s="79"/>
    </row>
    <row r="734" ht="15.75" customHeight="1">
      <c r="D734" s="79"/>
    </row>
    <row r="735" ht="15.75" customHeight="1">
      <c r="D735" s="79"/>
    </row>
    <row r="736" ht="15.75" customHeight="1">
      <c r="D736" s="79"/>
    </row>
    <row r="737" ht="15.75" customHeight="1">
      <c r="D737" s="79"/>
    </row>
    <row r="738" ht="15.75" customHeight="1">
      <c r="D738" s="79"/>
    </row>
    <row r="739" ht="15.75" customHeight="1">
      <c r="D739" s="79"/>
    </row>
    <row r="740" ht="15.75" customHeight="1">
      <c r="D740" s="79"/>
    </row>
    <row r="741" ht="15.75" customHeight="1">
      <c r="D741" s="79"/>
    </row>
    <row r="742" ht="15.75" customHeight="1">
      <c r="D742" s="79"/>
    </row>
    <row r="743" ht="15.75" customHeight="1">
      <c r="D743" s="79"/>
    </row>
    <row r="744" ht="15.75" customHeight="1">
      <c r="D744" s="79"/>
    </row>
    <row r="745" ht="15.75" customHeight="1">
      <c r="D745" s="79"/>
    </row>
    <row r="746" ht="15.75" customHeight="1">
      <c r="D746" s="79"/>
    </row>
    <row r="747" ht="15.75" customHeight="1">
      <c r="D747" s="79"/>
    </row>
    <row r="748" ht="15.75" customHeight="1">
      <c r="D748" s="79"/>
    </row>
    <row r="749" ht="15.75" customHeight="1">
      <c r="D749" s="79"/>
    </row>
    <row r="750" ht="15.75" customHeight="1">
      <c r="D750" s="79"/>
    </row>
    <row r="751" ht="15.75" customHeight="1">
      <c r="D751" s="79"/>
    </row>
    <row r="752" ht="15.75" customHeight="1">
      <c r="D752" s="79"/>
    </row>
    <row r="753" ht="15.75" customHeight="1">
      <c r="D753" s="79"/>
    </row>
    <row r="754" ht="15.75" customHeight="1">
      <c r="D754" s="79"/>
    </row>
    <row r="755" ht="15.75" customHeight="1">
      <c r="D755" s="79"/>
    </row>
    <row r="756" ht="15.75" customHeight="1">
      <c r="D756" s="79"/>
    </row>
    <row r="757" ht="15.75" customHeight="1">
      <c r="D757" s="79"/>
    </row>
    <row r="758" ht="15.75" customHeight="1">
      <c r="D758" s="79"/>
    </row>
    <row r="759" ht="15.75" customHeight="1">
      <c r="D759" s="79"/>
    </row>
    <row r="760" ht="15.75" customHeight="1">
      <c r="D760" s="79"/>
    </row>
    <row r="761" ht="15.75" customHeight="1">
      <c r="D761" s="79"/>
    </row>
    <row r="762" ht="15.75" customHeight="1">
      <c r="D762" s="79"/>
    </row>
    <row r="763" ht="15.75" customHeight="1">
      <c r="D763" s="79"/>
    </row>
    <row r="764" ht="15.75" customHeight="1">
      <c r="D764" s="79"/>
    </row>
    <row r="765" ht="15.75" customHeight="1">
      <c r="D765" s="79"/>
    </row>
    <row r="766" ht="15.75" customHeight="1">
      <c r="D766" s="79"/>
    </row>
    <row r="767" ht="15.75" customHeight="1">
      <c r="D767" s="79"/>
    </row>
    <row r="768" ht="15.75" customHeight="1">
      <c r="D768" s="79"/>
    </row>
    <row r="769" ht="15.75" customHeight="1">
      <c r="D769" s="79"/>
    </row>
    <row r="770" ht="15.75" customHeight="1">
      <c r="D770" s="79"/>
    </row>
    <row r="771" ht="15.75" customHeight="1">
      <c r="D771" s="79"/>
    </row>
    <row r="772" ht="15.75" customHeight="1">
      <c r="D772" s="79"/>
    </row>
    <row r="773" ht="15.75" customHeight="1">
      <c r="D773" s="79"/>
    </row>
    <row r="774" ht="15.75" customHeight="1">
      <c r="D774" s="79"/>
    </row>
    <row r="775" ht="15.75" customHeight="1">
      <c r="D775" s="79"/>
    </row>
    <row r="776" ht="15.75" customHeight="1">
      <c r="D776" s="79"/>
    </row>
    <row r="777" ht="15.75" customHeight="1">
      <c r="D777" s="79"/>
    </row>
    <row r="778" ht="15.75" customHeight="1">
      <c r="D778" s="79"/>
    </row>
    <row r="779" ht="15.75" customHeight="1">
      <c r="D779" s="79"/>
    </row>
    <row r="780" ht="15.75" customHeight="1">
      <c r="D780" s="79"/>
    </row>
    <row r="781" ht="15.75" customHeight="1">
      <c r="D781" s="79"/>
    </row>
    <row r="782" ht="15.75" customHeight="1">
      <c r="D782" s="79"/>
    </row>
    <row r="783" ht="15.75" customHeight="1">
      <c r="D783" s="79"/>
    </row>
    <row r="784" ht="15.75" customHeight="1">
      <c r="D784" s="79"/>
    </row>
    <row r="785" ht="15.75" customHeight="1">
      <c r="D785" s="79"/>
    </row>
    <row r="786" ht="15.75" customHeight="1">
      <c r="D786" s="79"/>
    </row>
    <row r="787" ht="15.75" customHeight="1">
      <c r="D787" s="79"/>
    </row>
    <row r="788" ht="15.75" customHeight="1">
      <c r="D788" s="79"/>
    </row>
    <row r="789" ht="15.75" customHeight="1">
      <c r="D789" s="79"/>
    </row>
    <row r="790" ht="15.75" customHeight="1">
      <c r="D790" s="79"/>
    </row>
    <row r="791" ht="15.75" customHeight="1">
      <c r="D791" s="79"/>
    </row>
    <row r="792" ht="15.75" customHeight="1">
      <c r="D792" s="79"/>
    </row>
    <row r="793" ht="15.75" customHeight="1">
      <c r="D793" s="79"/>
    </row>
    <row r="794" ht="15.75" customHeight="1">
      <c r="D794" s="79"/>
    </row>
    <row r="795" ht="15.75" customHeight="1">
      <c r="D795" s="79"/>
    </row>
    <row r="796" ht="15.75" customHeight="1">
      <c r="D796" s="79"/>
    </row>
    <row r="797" ht="15.75" customHeight="1">
      <c r="D797" s="79"/>
    </row>
    <row r="798" ht="15.75" customHeight="1">
      <c r="D798" s="79"/>
    </row>
    <row r="799" ht="15.75" customHeight="1">
      <c r="D799" s="79"/>
    </row>
    <row r="800" ht="15.75" customHeight="1">
      <c r="D800" s="79"/>
    </row>
    <row r="801" ht="15.75" customHeight="1">
      <c r="D801" s="79"/>
    </row>
    <row r="802" ht="15.75" customHeight="1">
      <c r="D802" s="79"/>
    </row>
    <row r="803" ht="15.75" customHeight="1">
      <c r="D803" s="79"/>
    </row>
    <row r="804" ht="15.75" customHeight="1">
      <c r="D804" s="79"/>
    </row>
    <row r="805" ht="15.75" customHeight="1">
      <c r="D805" s="79"/>
    </row>
    <row r="806" ht="15.75" customHeight="1">
      <c r="D806" s="79"/>
    </row>
    <row r="807" ht="15.75" customHeight="1">
      <c r="D807" s="79"/>
    </row>
    <row r="808" ht="15.75" customHeight="1">
      <c r="D808" s="79"/>
    </row>
    <row r="809" ht="15.75" customHeight="1">
      <c r="D809" s="79"/>
    </row>
    <row r="810" ht="15.75" customHeight="1">
      <c r="D810" s="79"/>
    </row>
    <row r="811" ht="15.75" customHeight="1">
      <c r="D811" s="79"/>
    </row>
    <row r="812" ht="15.75" customHeight="1">
      <c r="D812" s="79"/>
    </row>
    <row r="813" ht="15.75" customHeight="1">
      <c r="D813" s="79"/>
    </row>
    <row r="814" ht="15.75" customHeight="1">
      <c r="D814" s="79"/>
    </row>
    <row r="815" ht="15.75" customHeight="1">
      <c r="D815" s="79"/>
    </row>
    <row r="816" ht="15.75" customHeight="1">
      <c r="D816" s="79"/>
    </row>
    <row r="817" ht="15.75" customHeight="1">
      <c r="D817" s="79"/>
    </row>
    <row r="818" ht="15.75" customHeight="1">
      <c r="D818" s="79"/>
    </row>
    <row r="819" ht="15.75" customHeight="1">
      <c r="D819" s="79"/>
    </row>
    <row r="820" ht="15.75" customHeight="1">
      <c r="D820" s="79"/>
    </row>
    <row r="821" ht="15.75" customHeight="1">
      <c r="D821" s="79"/>
    </row>
    <row r="822" ht="15.75" customHeight="1">
      <c r="D822" s="79"/>
    </row>
    <row r="823" ht="15.75" customHeight="1">
      <c r="D823" s="79"/>
    </row>
    <row r="824" ht="15.75" customHeight="1">
      <c r="D824" s="79"/>
    </row>
    <row r="825" ht="15.75" customHeight="1">
      <c r="D825" s="79"/>
    </row>
    <row r="826" ht="15.75" customHeight="1">
      <c r="D826" s="79"/>
    </row>
    <row r="827" ht="15.75" customHeight="1">
      <c r="D827" s="79"/>
    </row>
    <row r="828" ht="15.75" customHeight="1">
      <c r="D828" s="79"/>
    </row>
    <row r="829" ht="15.75" customHeight="1">
      <c r="D829" s="79"/>
    </row>
    <row r="830" ht="15.75" customHeight="1">
      <c r="D830" s="79"/>
    </row>
    <row r="831" ht="15.75" customHeight="1">
      <c r="D831" s="79"/>
    </row>
    <row r="832" ht="15.75" customHeight="1">
      <c r="D832" s="79"/>
    </row>
    <row r="833" ht="15.75" customHeight="1">
      <c r="D833" s="79"/>
    </row>
    <row r="834" ht="15.75" customHeight="1">
      <c r="D834" s="79"/>
    </row>
    <row r="835" ht="15.75" customHeight="1">
      <c r="D835" s="79"/>
    </row>
    <row r="836" ht="15.75" customHeight="1">
      <c r="D836" s="79"/>
    </row>
    <row r="837" ht="15.75" customHeight="1">
      <c r="D837" s="79"/>
    </row>
    <row r="838" ht="15.75" customHeight="1">
      <c r="D838" s="79"/>
    </row>
    <row r="839" ht="15.75" customHeight="1">
      <c r="D839" s="79"/>
    </row>
    <row r="840" ht="15.75" customHeight="1">
      <c r="D840" s="79"/>
    </row>
    <row r="841" ht="15.75" customHeight="1">
      <c r="D841" s="79"/>
    </row>
    <row r="842" ht="15.75" customHeight="1">
      <c r="D842" s="79"/>
    </row>
    <row r="843" ht="15.75" customHeight="1">
      <c r="D843" s="79"/>
    </row>
    <row r="844" ht="15.75" customHeight="1">
      <c r="D844" s="79"/>
    </row>
    <row r="845" ht="15.75" customHeight="1">
      <c r="D845" s="79"/>
    </row>
    <row r="846" ht="15.75" customHeight="1">
      <c r="D846" s="79"/>
    </row>
    <row r="847" ht="15.75" customHeight="1">
      <c r="D847" s="79"/>
    </row>
    <row r="848" ht="15.75" customHeight="1">
      <c r="D848" s="79"/>
    </row>
    <row r="849" ht="15.75" customHeight="1">
      <c r="D849" s="79"/>
    </row>
    <row r="850" ht="15.75" customHeight="1">
      <c r="D850" s="79"/>
    </row>
    <row r="851" ht="15.75" customHeight="1">
      <c r="D851" s="79"/>
    </row>
    <row r="852" ht="15.75" customHeight="1">
      <c r="D852" s="79"/>
    </row>
    <row r="853" ht="15.75" customHeight="1">
      <c r="D853" s="79"/>
    </row>
    <row r="854" ht="15.75" customHeight="1">
      <c r="D854" s="79"/>
    </row>
    <row r="855" ht="15.75" customHeight="1">
      <c r="D855" s="79"/>
    </row>
    <row r="856" ht="15.75" customHeight="1">
      <c r="D856" s="79"/>
    </row>
    <row r="857" ht="15.75" customHeight="1">
      <c r="D857" s="79"/>
    </row>
    <row r="858" ht="15.75" customHeight="1">
      <c r="D858" s="79"/>
    </row>
    <row r="859" ht="15.75" customHeight="1">
      <c r="D859" s="79"/>
    </row>
    <row r="860" ht="15.75" customHeight="1">
      <c r="D860" s="79"/>
    </row>
    <row r="861" ht="15.75" customHeight="1">
      <c r="D861" s="79"/>
    </row>
    <row r="862" ht="15.75" customHeight="1">
      <c r="D862" s="79"/>
    </row>
    <row r="863" ht="15.75" customHeight="1">
      <c r="D863" s="79"/>
    </row>
    <row r="864" ht="15.75" customHeight="1">
      <c r="D864" s="79"/>
    </row>
    <row r="865" ht="15.75" customHeight="1">
      <c r="D865" s="79"/>
    </row>
    <row r="866" ht="15.75" customHeight="1">
      <c r="D866" s="79"/>
    </row>
    <row r="867" ht="15.75" customHeight="1">
      <c r="D867" s="79"/>
    </row>
    <row r="868" ht="15.75" customHeight="1">
      <c r="D868" s="79"/>
    </row>
    <row r="869" ht="15.75" customHeight="1">
      <c r="D869" s="79"/>
    </row>
    <row r="870" ht="15.75" customHeight="1">
      <c r="D870" s="79"/>
    </row>
    <row r="871" ht="15.75" customHeight="1">
      <c r="D871" s="79"/>
    </row>
    <row r="872" ht="15.75" customHeight="1">
      <c r="D872" s="79"/>
    </row>
    <row r="873" ht="15.75" customHeight="1">
      <c r="D873" s="79"/>
    </row>
    <row r="874" ht="15.75" customHeight="1">
      <c r="D874" s="79"/>
    </row>
    <row r="875" ht="15.75" customHeight="1">
      <c r="D875" s="79"/>
    </row>
    <row r="876" ht="15.75" customHeight="1">
      <c r="D876" s="79"/>
    </row>
    <row r="877" ht="15.75" customHeight="1">
      <c r="D877" s="79"/>
    </row>
    <row r="878" ht="15.75" customHeight="1">
      <c r="D878" s="79"/>
    </row>
    <row r="879" ht="15.75" customHeight="1">
      <c r="D879" s="79"/>
    </row>
    <row r="880" ht="15.75" customHeight="1">
      <c r="D880" s="79"/>
    </row>
    <row r="881" ht="15.75" customHeight="1">
      <c r="D881" s="79"/>
    </row>
    <row r="882" ht="15.75" customHeight="1">
      <c r="D882" s="79"/>
    </row>
    <row r="883" ht="15.75" customHeight="1">
      <c r="D883" s="79"/>
    </row>
    <row r="884" ht="15.75" customHeight="1">
      <c r="D884" s="79"/>
    </row>
    <row r="885" ht="15.75" customHeight="1">
      <c r="D885" s="79"/>
    </row>
    <row r="886" ht="15.75" customHeight="1">
      <c r="D886" s="79"/>
    </row>
    <row r="887" ht="15.75" customHeight="1">
      <c r="D887" s="79"/>
    </row>
    <row r="888" ht="15.75" customHeight="1">
      <c r="D888" s="79"/>
    </row>
    <row r="889" ht="15.75" customHeight="1">
      <c r="D889" s="79"/>
    </row>
    <row r="890" ht="15.75" customHeight="1">
      <c r="D890" s="79"/>
    </row>
    <row r="891" ht="15.75" customHeight="1">
      <c r="D891" s="79"/>
    </row>
    <row r="892" ht="15.75" customHeight="1">
      <c r="D892" s="79"/>
    </row>
    <row r="893" ht="15.75" customHeight="1">
      <c r="D893" s="79"/>
    </row>
    <row r="894" ht="15.75" customHeight="1">
      <c r="D894" s="79"/>
    </row>
    <row r="895" ht="15.75" customHeight="1">
      <c r="D895" s="79"/>
    </row>
    <row r="896" ht="15.75" customHeight="1">
      <c r="D896" s="79"/>
    </row>
    <row r="897" ht="15.75" customHeight="1">
      <c r="D897" s="79"/>
    </row>
    <row r="898" ht="15.75" customHeight="1">
      <c r="D898" s="79"/>
    </row>
    <row r="899" ht="15.75" customHeight="1">
      <c r="D899" s="79"/>
    </row>
    <row r="900" ht="15.75" customHeight="1">
      <c r="D900" s="79"/>
    </row>
    <row r="901" ht="15.75" customHeight="1">
      <c r="D901" s="79"/>
    </row>
    <row r="902" ht="15.75" customHeight="1">
      <c r="D902" s="79"/>
    </row>
    <row r="903" ht="15.75" customHeight="1">
      <c r="D903" s="79"/>
    </row>
    <row r="904" ht="15.75" customHeight="1">
      <c r="D904" s="79"/>
    </row>
    <row r="905" ht="15.75" customHeight="1">
      <c r="D905" s="79"/>
    </row>
    <row r="906" ht="15.75" customHeight="1">
      <c r="D906" s="79"/>
    </row>
    <row r="907" ht="15.75" customHeight="1">
      <c r="D907" s="79"/>
    </row>
    <row r="908" ht="15.75" customHeight="1">
      <c r="D908" s="79"/>
    </row>
    <row r="909" ht="15.75" customHeight="1">
      <c r="D909" s="79"/>
    </row>
    <row r="910" ht="15.75" customHeight="1">
      <c r="D910" s="79"/>
    </row>
    <row r="911" ht="15.75" customHeight="1">
      <c r="D911" s="79"/>
    </row>
    <row r="912" ht="15.75" customHeight="1">
      <c r="D912" s="79"/>
    </row>
    <row r="913" ht="15.75" customHeight="1">
      <c r="D913" s="79"/>
    </row>
    <row r="914" ht="15.75" customHeight="1">
      <c r="D914" s="79"/>
    </row>
    <row r="915" ht="15.75" customHeight="1">
      <c r="D915" s="79"/>
    </row>
    <row r="916" ht="15.75" customHeight="1">
      <c r="D916" s="79"/>
    </row>
    <row r="917" ht="15.75" customHeight="1">
      <c r="D917" s="79"/>
    </row>
    <row r="918" ht="15.75" customHeight="1">
      <c r="D918" s="79"/>
    </row>
    <row r="919" ht="15.75" customHeight="1">
      <c r="D919" s="79"/>
    </row>
    <row r="920" ht="15.75" customHeight="1">
      <c r="D920" s="79"/>
    </row>
    <row r="921" ht="15.75" customHeight="1">
      <c r="D921" s="79"/>
    </row>
    <row r="922" ht="15.75" customHeight="1">
      <c r="D922" s="79"/>
    </row>
    <row r="923" ht="15.75" customHeight="1">
      <c r="D923" s="79"/>
    </row>
    <row r="924" ht="15.75" customHeight="1">
      <c r="D924" s="79"/>
    </row>
    <row r="925" ht="15.75" customHeight="1">
      <c r="D925" s="79"/>
    </row>
    <row r="926" ht="15.75" customHeight="1">
      <c r="D926" s="79"/>
    </row>
    <row r="927" ht="15.75" customHeight="1">
      <c r="D927" s="79"/>
    </row>
    <row r="928" ht="15.75" customHeight="1">
      <c r="D928" s="79"/>
    </row>
    <row r="929" ht="15.75" customHeight="1">
      <c r="D929" s="79"/>
    </row>
    <row r="930" ht="15.75" customHeight="1">
      <c r="D930" s="79"/>
    </row>
    <row r="931" ht="15.75" customHeight="1">
      <c r="D931" s="79"/>
    </row>
    <row r="932" ht="15.75" customHeight="1">
      <c r="D932" s="79"/>
    </row>
    <row r="933" ht="15.75" customHeight="1">
      <c r="D933" s="79"/>
    </row>
    <row r="934" ht="15.75" customHeight="1">
      <c r="D934" s="79"/>
    </row>
    <row r="935" ht="15.75" customHeight="1">
      <c r="D935" s="79"/>
    </row>
    <row r="936" ht="15.75" customHeight="1">
      <c r="D936" s="79"/>
    </row>
    <row r="937" ht="15.75" customHeight="1">
      <c r="D937" s="79"/>
    </row>
    <row r="938" ht="15.75" customHeight="1">
      <c r="D938" s="79"/>
    </row>
    <row r="939" ht="15.75" customHeight="1">
      <c r="D939" s="79"/>
    </row>
    <row r="940" ht="15.75" customHeight="1">
      <c r="D940" s="79"/>
    </row>
    <row r="941" ht="15.75" customHeight="1">
      <c r="D941" s="79"/>
    </row>
    <row r="942" ht="15.75" customHeight="1">
      <c r="D942" s="79"/>
    </row>
    <row r="943" ht="15.75" customHeight="1">
      <c r="D943" s="79"/>
    </row>
    <row r="944" ht="15.75" customHeight="1">
      <c r="D944" s="79"/>
    </row>
    <row r="945" ht="15.75" customHeight="1">
      <c r="D945" s="79"/>
    </row>
    <row r="946" ht="15.75" customHeight="1">
      <c r="D946" s="79"/>
    </row>
    <row r="947" ht="15.75" customHeight="1">
      <c r="D947" s="79"/>
    </row>
    <row r="948" ht="15.75" customHeight="1">
      <c r="D948" s="79"/>
    </row>
    <row r="949" ht="15.75" customHeight="1">
      <c r="D949" s="79"/>
    </row>
    <row r="950" ht="15.75" customHeight="1">
      <c r="D950" s="79"/>
    </row>
    <row r="951" ht="15.75" customHeight="1">
      <c r="D951" s="79"/>
    </row>
    <row r="952" ht="15.75" customHeight="1">
      <c r="D952" s="79"/>
    </row>
    <row r="953" ht="15.75" customHeight="1">
      <c r="D953" s="79"/>
    </row>
    <row r="954" ht="15.75" customHeight="1">
      <c r="D954" s="79"/>
    </row>
    <row r="955" ht="15.75" customHeight="1">
      <c r="D955" s="79"/>
    </row>
    <row r="956" ht="15.75" customHeight="1">
      <c r="D956" s="79"/>
    </row>
    <row r="957" ht="15.75" customHeight="1">
      <c r="D957" s="79"/>
    </row>
    <row r="958" ht="15.75" customHeight="1">
      <c r="D958" s="79"/>
    </row>
    <row r="959" ht="15.75" customHeight="1">
      <c r="D959" s="79"/>
    </row>
    <row r="960" ht="15.75" customHeight="1">
      <c r="D960" s="79"/>
    </row>
    <row r="961" ht="15.75" customHeight="1">
      <c r="D961" s="79"/>
    </row>
    <row r="962" ht="15.75" customHeight="1">
      <c r="D962" s="79"/>
    </row>
    <row r="963" ht="15.75" customHeight="1">
      <c r="D963" s="79"/>
    </row>
    <row r="964" ht="15.75" customHeight="1">
      <c r="D964" s="79"/>
    </row>
    <row r="965" ht="15.75" customHeight="1">
      <c r="D965" s="79"/>
    </row>
    <row r="966" ht="15.75" customHeight="1">
      <c r="D966" s="79"/>
    </row>
    <row r="967" ht="15.75" customHeight="1">
      <c r="D967" s="79"/>
    </row>
    <row r="968" ht="15.75" customHeight="1">
      <c r="D968" s="79"/>
    </row>
    <row r="969" ht="15.75" customHeight="1">
      <c r="D969" s="79"/>
    </row>
    <row r="970" ht="15.75" customHeight="1">
      <c r="D970" s="79"/>
    </row>
    <row r="971" ht="15.75" customHeight="1">
      <c r="D971" s="79"/>
    </row>
    <row r="972" ht="15.75" customHeight="1">
      <c r="D972" s="79"/>
    </row>
    <row r="973" ht="15.75" customHeight="1">
      <c r="D973" s="79"/>
    </row>
    <row r="974" ht="15.75" customHeight="1">
      <c r="D974" s="79"/>
    </row>
    <row r="975" ht="15.75" customHeight="1">
      <c r="D975" s="79"/>
    </row>
    <row r="976" ht="15.75" customHeight="1">
      <c r="D976" s="79"/>
    </row>
    <row r="977" ht="15.75" customHeight="1">
      <c r="D977" s="79"/>
    </row>
    <row r="978" ht="15.75" customHeight="1">
      <c r="D978" s="79"/>
    </row>
    <row r="979" ht="15.75" customHeight="1">
      <c r="D979" s="79"/>
    </row>
    <row r="980" ht="15.75" customHeight="1">
      <c r="D980" s="79"/>
    </row>
    <row r="981" ht="15.75" customHeight="1">
      <c r="D981" s="79"/>
    </row>
    <row r="982" ht="15.75" customHeight="1">
      <c r="D982" s="79"/>
    </row>
    <row r="983" ht="15.75" customHeight="1">
      <c r="D983" s="79"/>
    </row>
    <row r="984" ht="15.75" customHeight="1">
      <c r="D984" s="79"/>
    </row>
    <row r="985" ht="15.75" customHeight="1">
      <c r="D985" s="79"/>
    </row>
    <row r="986" ht="15.75" customHeight="1">
      <c r="D986" s="79"/>
    </row>
    <row r="987" ht="15.75" customHeight="1">
      <c r="D987" s="79"/>
    </row>
    <row r="988" ht="15.75" customHeight="1">
      <c r="D988" s="79"/>
    </row>
    <row r="989" ht="15.75" customHeight="1">
      <c r="D989" s="79"/>
    </row>
    <row r="990" ht="15.75" customHeight="1">
      <c r="D990" s="79"/>
    </row>
    <row r="991" ht="15.75" customHeight="1">
      <c r="D991" s="79"/>
    </row>
    <row r="992" ht="15.75" customHeight="1">
      <c r="D992" s="79"/>
    </row>
    <row r="993" ht="15.75" customHeight="1">
      <c r="D993" s="79"/>
    </row>
    <row r="994" ht="15.75" customHeight="1">
      <c r="D994" s="79"/>
    </row>
    <row r="995" ht="15.75" customHeight="1">
      <c r="D995" s="79"/>
    </row>
    <row r="996" ht="15.75" customHeight="1">
      <c r="D996" s="79"/>
    </row>
    <row r="997" ht="15.75" customHeight="1">
      <c r="D997" s="79"/>
    </row>
    <row r="998" ht="15.75" customHeight="1">
      <c r="D998" s="79"/>
    </row>
    <row r="999" ht="15.75" customHeight="1">
      <c r="D999" s="79"/>
    </row>
    <row r="1000" ht="15.75" customHeight="1">
      <c r="D1000" s="79"/>
    </row>
  </sheetData>
  <conditionalFormatting sqref="C2:C1000">
    <cfRule type="cellIs" dxfId="0" priority="1" operator="greaterThanOrEqual">
      <formula>8</formula>
    </cfRule>
  </conditionalFormatting>
  <conditionalFormatting sqref="C2:C1000">
    <cfRule type="cellIs" dxfId="1" priority="2" operator="between">
      <formula>7</formula>
      <formula>7.99</formula>
    </cfRule>
  </conditionalFormatting>
  <conditionalFormatting sqref="C2:C1000">
    <cfRule type="cellIs" dxfId="2" priority="3" operator="lessThan">
      <formula>7</formula>
    </cfRule>
  </conditionalFormatting>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C4899"/>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3.0"/>
    <col customWidth="1" min="2" max="2" width="28.0"/>
    <col customWidth="1" min="3" max="3" width="14.0"/>
    <col customWidth="1" min="4" max="4" width="8.0"/>
    <col customWidth="1" min="5" max="5" width="22.0"/>
    <col customWidth="1" min="6" max="6" width="14.0"/>
    <col customWidth="1" min="7" max="7" width="8.0"/>
  </cols>
  <sheetData>
    <row r="1" ht="18.0" customHeight="1">
      <c r="A1" s="2" t="s">
        <v>0</v>
      </c>
      <c r="B1" s="2" t="s">
        <v>221</v>
      </c>
      <c r="C1" s="2" t="s">
        <v>222</v>
      </c>
      <c r="D1" s="2" t="s">
        <v>2</v>
      </c>
      <c r="E1" s="2" t="s">
        <v>9</v>
      </c>
      <c r="F1" s="61" t="s">
        <v>10</v>
      </c>
      <c r="G1" s="62">
        <f>COUNTA(A:A)-1</f>
        <v>2</v>
      </c>
    </row>
    <row r="2" ht="18.0" customHeight="1">
      <c r="A2" s="35" t="s">
        <v>223</v>
      </c>
      <c r="B2" s="14" t="s">
        <v>224</v>
      </c>
      <c r="C2" s="14" t="s">
        <v>225</v>
      </c>
      <c r="D2" s="54"/>
      <c r="E2" s="14"/>
      <c r="F2" s="64" t="s">
        <v>28</v>
      </c>
      <c r="G2" s="18" t="str">
        <f>IFERROR(ROUND(AVERAGE(D2:D10000),1),"—")</f>
        <v>—</v>
      </c>
    </row>
    <row r="3" ht="18.0" customHeight="1">
      <c r="A3" s="20">
        <v>46069.0</v>
      </c>
      <c r="B3" s="24" t="s">
        <v>224</v>
      </c>
      <c r="C3" s="24" t="s">
        <v>226</v>
      </c>
      <c r="D3" s="51"/>
      <c r="E3" s="24"/>
      <c r="F3" s="25"/>
      <c r="G3" s="65"/>
    </row>
    <row r="4" ht="18.0" customHeight="1">
      <c r="A4" s="35"/>
      <c r="B4" s="14"/>
      <c r="C4" s="14"/>
      <c r="D4" s="54"/>
      <c r="E4" s="14"/>
      <c r="F4" s="25"/>
      <c r="G4" s="65"/>
    </row>
    <row r="5" ht="18.0" customHeight="1">
      <c r="A5" s="38"/>
      <c r="B5" s="24"/>
      <c r="C5" s="24"/>
      <c r="D5" s="51"/>
      <c r="E5" s="24"/>
      <c r="F5" s="25"/>
      <c r="G5" s="65"/>
    </row>
    <row r="6" ht="18.0" customHeight="1">
      <c r="A6" s="35"/>
      <c r="B6" s="14"/>
      <c r="C6" s="14"/>
      <c r="D6" s="54"/>
      <c r="E6" s="14"/>
      <c r="F6" s="25"/>
      <c r="G6" s="65"/>
    </row>
    <row r="7" ht="18.0" customHeight="1">
      <c r="A7" s="38"/>
      <c r="B7" s="24"/>
      <c r="C7" s="24"/>
      <c r="D7" s="51"/>
      <c r="E7" s="24"/>
      <c r="F7" s="25"/>
      <c r="G7" s="65"/>
    </row>
    <row r="8" ht="18.0" customHeight="1">
      <c r="A8" s="35"/>
      <c r="B8" s="14"/>
      <c r="C8" s="14"/>
      <c r="D8" s="54"/>
      <c r="E8" s="14"/>
      <c r="F8" s="25"/>
      <c r="G8" s="65"/>
    </row>
    <row r="9" ht="18.0" customHeight="1">
      <c r="A9" s="38"/>
      <c r="B9" s="24"/>
      <c r="C9" s="24"/>
      <c r="D9" s="51"/>
      <c r="E9" s="24"/>
      <c r="F9" s="25"/>
      <c r="G9" s="65"/>
    </row>
    <row r="10" ht="18.0" customHeight="1">
      <c r="A10" s="35"/>
      <c r="B10" s="14"/>
      <c r="C10" s="14"/>
      <c r="D10" s="54"/>
      <c r="E10" s="14"/>
      <c r="F10" s="25"/>
      <c r="G10" s="65"/>
    </row>
    <row r="11" ht="18.0" customHeight="1">
      <c r="A11" s="38"/>
      <c r="B11" s="24"/>
      <c r="C11" s="24"/>
      <c r="D11" s="51"/>
      <c r="E11" s="24"/>
      <c r="F11" s="25"/>
      <c r="G11" s="65"/>
    </row>
    <row r="12" ht="18.0" customHeight="1">
      <c r="A12" s="35"/>
      <c r="B12" s="14"/>
      <c r="C12" s="14"/>
      <c r="D12" s="54"/>
      <c r="E12" s="14"/>
      <c r="F12" s="25"/>
      <c r="G12" s="65"/>
    </row>
    <row r="13" ht="18.0" customHeight="1">
      <c r="A13" s="38"/>
      <c r="B13" s="24"/>
      <c r="C13" s="24"/>
      <c r="D13" s="51"/>
      <c r="E13" s="24"/>
      <c r="F13" s="25"/>
      <c r="G13" s="65"/>
    </row>
    <row r="14" ht="18.0" customHeight="1">
      <c r="A14" s="35"/>
      <c r="B14" s="14"/>
      <c r="C14" s="14"/>
      <c r="D14" s="54"/>
      <c r="E14" s="14"/>
      <c r="F14" s="25"/>
      <c r="G14" s="65"/>
    </row>
    <row r="15" ht="18.0" customHeight="1">
      <c r="A15" s="38"/>
      <c r="B15" s="24"/>
      <c r="C15" s="24"/>
      <c r="D15" s="51"/>
      <c r="E15" s="24"/>
      <c r="F15" s="25"/>
      <c r="G15" s="65"/>
    </row>
    <row r="16" ht="18.0" customHeight="1">
      <c r="A16" s="35"/>
      <c r="B16" s="14"/>
      <c r="C16" s="14"/>
      <c r="D16" s="54"/>
      <c r="E16" s="14"/>
      <c r="F16" s="25"/>
      <c r="G16" s="65"/>
    </row>
    <row r="17" ht="18.0" customHeight="1">
      <c r="A17" s="38"/>
      <c r="B17" s="24"/>
      <c r="C17" s="24"/>
      <c r="D17" s="51"/>
      <c r="E17" s="24"/>
      <c r="F17" s="25"/>
      <c r="G17" s="65"/>
    </row>
    <row r="18" ht="18.0" customHeight="1">
      <c r="A18" s="35"/>
      <c r="B18" s="14"/>
      <c r="C18" s="14"/>
      <c r="D18" s="54"/>
      <c r="E18" s="14"/>
      <c r="F18" s="25"/>
      <c r="G18" s="65"/>
    </row>
    <row r="19" ht="18.0" customHeight="1">
      <c r="A19" s="38"/>
      <c r="B19" s="24"/>
      <c r="C19" s="24"/>
      <c r="D19" s="51"/>
      <c r="E19" s="24"/>
      <c r="F19" s="25"/>
      <c r="G19" s="65"/>
    </row>
    <row r="20" ht="18.0" customHeight="1">
      <c r="A20" s="35"/>
      <c r="B20" s="14"/>
      <c r="C20" s="14"/>
      <c r="D20" s="54"/>
      <c r="E20" s="14"/>
      <c r="F20" s="25"/>
      <c r="G20" s="65"/>
    </row>
    <row r="21" ht="18.0" customHeight="1">
      <c r="A21" s="38"/>
      <c r="B21" s="24"/>
      <c r="C21" s="24"/>
      <c r="D21" s="51"/>
      <c r="E21" s="24"/>
      <c r="F21" s="25"/>
      <c r="G21" s="65"/>
    </row>
    <row r="22" ht="18.0" customHeight="1">
      <c r="A22" s="35"/>
      <c r="B22" s="14"/>
      <c r="C22" s="14"/>
      <c r="D22" s="54"/>
      <c r="E22" s="14"/>
      <c r="F22" s="25"/>
      <c r="G22" s="65"/>
    </row>
    <row r="23" ht="18.0" customHeight="1">
      <c r="A23" s="38"/>
      <c r="B23" s="24"/>
      <c r="C23" s="24"/>
      <c r="D23" s="51"/>
      <c r="E23" s="24"/>
      <c r="F23" s="25"/>
      <c r="G23" s="65"/>
    </row>
    <row r="24" ht="18.0" customHeight="1">
      <c r="A24" s="35"/>
      <c r="B24" s="14"/>
      <c r="C24" s="14"/>
      <c r="D24" s="54"/>
      <c r="E24" s="14"/>
      <c r="F24" s="25"/>
      <c r="G24" s="65"/>
    </row>
    <row r="25" ht="18.0" customHeight="1">
      <c r="A25" s="38"/>
      <c r="B25" s="24"/>
      <c r="C25" s="24"/>
      <c r="D25" s="51"/>
      <c r="E25" s="24"/>
      <c r="F25" s="25"/>
      <c r="G25" s="65"/>
    </row>
    <row r="26" ht="18.0" customHeight="1">
      <c r="A26" s="35"/>
      <c r="B26" s="14"/>
      <c r="C26" s="14"/>
      <c r="D26" s="54"/>
      <c r="E26" s="14"/>
      <c r="F26" s="25"/>
      <c r="G26" s="65"/>
    </row>
    <row r="27" ht="18.0" customHeight="1">
      <c r="A27" s="38"/>
      <c r="B27" s="24"/>
      <c r="C27" s="24"/>
      <c r="D27" s="51"/>
      <c r="E27" s="24"/>
      <c r="F27" s="25"/>
      <c r="G27" s="65"/>
    </row>
    <row r="28" ht="18.0" customHeight="1">
      <c r="A28" s="35"/>
      <c r="B28" s="14"/>
      <c r="C28" s="14"/>
      <c r="D28" s="54"/>
      <c r="E28" s="14"/>
      <c r="F28" s="25"/>
      <c r="G28" s="65"/>
    </row>
    <row r="29" ht="18.0" customHeight="1">
      <c r="A29" s="38"/>
      <c r="B29" s="24"/>
      <c r="C29" s="24"/>
      <c r="D29" s="51"/>
      <c r="E29" s="24"/>
      <c r="F29" s="25"/>
      <c r="G29" s="65"/>
    </row>
    <row r="30" ht="18.0" customHeight="1">
      <c r="A30" s="35"/>
      <c r="B30" s="14"/>
      <c r="C30" s="14"/>
      <c r="D30" s="54"/>
      <c r="E30" s="14"/>
      <c r="F30" s="25"/>
      <c r="G30" s="65"/>
    </row>
    <row r="31" ht="18.0" customHeight="1">
      <c r="A31" s="38"/>
      <c r="B31" s="24"/>
      <c r="C31" s="24"/>
      <c r="D31" s="51"/>
      <c r="E31" s="24"/>
      <c r="F31" s="25"/>
      <c r="G31" s="65"/>
    </row>
    <row r="32" ht="18.0" customHeight="1">
      <c r="A32" s="35"/>
      <c r="B32" s="14"/>
      <c r="C32" s="14"/>
      <c r="D32" s="54"/>
      <c r="E32" s="14"/>
      <c r="F32" s="25"/>
      <c r="G32" s="65"/>
    </row>
    <row r="33" ht="18.0" customHeight="1">
      <c r="A33" s="38"/>
      <c r="B33" s="24"/>
      <c r="C33" s="24"/>
      <c r="D33" s="51"/>
      <c r="E33" s="24"/>
      <c r="F33" s="25"/>
      <c r="G33" s="65"/>
    </row>
    <row r="34" ht="18.0" customHeight="1">
      <c r="A34" s="35"/>
      <c r="B34" s="14"/>
      <c r="C34" s="14"/>
      <c r="D34" s="54"/>
      <c r="E34" s="14"/>
      <c r="F34" s="25"/>
      <c r="G34" s="65"/>
    </row>
    <row r="35" ht="18.0" customHeight="1">
      <c r="A35" s="38"/>
      <c r="B35" s="24"/>
      <c r="C35" s="24"/>
      <c r="D35" s="51"/>
      <c r="E35" s="24"/>
      <c r="F35" s="25"/>
      <c r="G35" s="65"/>
    </row>
    <row r="36" ht="18.0" customHeight="1">
      <c r="A36" s="35"/>
      <c r="B36" s="14"/>
      <c r="C36" s="14"/>
      <c r="D36" s="54"/>
      <c r="E36" s="14"/>
      <c r="F36" s="25"/>
      <c r="G36" s="65"/>
    </row>
    <row r="37" ht="18.0" customHeight="1">
      <c r="A37" s="38"/>
      <c r="B37" s="24"/>
      <c r="C37" s="24"/>
      <c r="D37" s="51"/>
      <c r="E37" s="24"/>
      <c r="F37" s="25"/>
      <c r="G37" s="65"/>
    </row>
    <row r="38" ht="18.0" customHeight="1">
      <c r="A38" s="35"/>
      <c r="B38" s="14"/>
      <c r="C38" s="14"/>
      <c r="D38" s="54"/>
      <c r="E38" s="14"/>
      <c r="F38" s="25"/>
      <c r="G38" s="65"/>
    </row>
    <row r="39" ht="18.0" customHeight="1">
      <c r="A39" s="38"/>
      <c r="B39" s="24"/>
      <c r="C39" s="24"/>
      <c r="D39" s="51"/>
      <c r="E39" s="24"/>
      <c r="F39" s="25"/>
      <c r="G39" s="65"/>
    </row>
    <row r="40" ht="18.0" customHeight="1">
      <c r="A40" s="35"/>
      <c r="B40" s="14"/>
      <c r="C40" s="14"/>
      <c r="D40" s="54"/>
      <c r="E40" s="14"/>
      <c r="F40" s="25"/>
      <c r="G40" s="65"/>
    </row>
    <row r="41" ht="18.0" customHeight="1">
      <c r="A41" s="38"/>
      <c r="B41" s="24"/>
      <c r="C41" s="24"/>
      <c r="D41" s="51"/>
      <c r="E41" s="24"/>
      <c r="F41" s="25"/>
      <c r="G41" s="65"/>
    </row>
    <row r="42" ht="18.0" customHeight="1">
      <c r="A42" s="35"/>
      <c r="B42" s="14"/>
      <c r="C42" s="14"/>
      <c r="D42" s="54"/>
      <c r="E42" s="14"/>
      <c r="F42" s="25"/>
      <c r="G42" s="65"/>
    </row>
    <row r="43" ht="18.0" customHeight="1">
      <c r="A43" s="38"/>
      <c r="B43" s="24"/>
      <c r="C43" s="24"/>
      <c r="D43" s="51"/>
      <c r="E43" s="24"/>
      <c r="F43" s="25"/>
      <c r="G43" s="65"/>
    </row>
    <row r="44" ht="18.0" customHeight="1">
      <c r="A44" s="35"/>
      <c r="B44" s="14"/>
      <c r="C44" s="14"/>
      <c r="D44" s="54"/>
      <c r="E44" s="14"/>
      <c r="F44" s="25"/>
      <c r="G44" s="65"/>
    </row>
    <row r="45" ht="18.0" customHeight="1">
      <c r="A45" s="38"/>
      <c r="B45" s="24"/>
      <c r="C45" s="24"/>
      <c r="D45" s="51"/>
      <c r="E45" s="24"/>
      <c r="F45" s="25"/>
      <c r="G45" s="65"/>
    </row>
    <row r="46" ht="18.0" customHeight="1">
      <c r="A46" s="35"/>
      <c r="B46" s="14"/>
      <c r="C46" s="14"/>
      <c r="D46" s="54"/>
      <c r="E46" s="14"/>
      <c r="F46" s="25"/>
      <c r="G46" s="65"/>
    </row>
    <row r="47" ht="18.0" customHeight="1">
      <c r="A47" s="38"/>
      <c r="B47" s="24"/>
      <c r="C47" s="24"/>
      <c r="D47" s="51"/>
      <c r="E47" s="24"/>
      <c r="F47" s="25"/>
      <c r="G47" s="65"/>
    </row>
    <row r="48" ht="18.0" customHeight="1">
      <c r="A48" s="35"/>
      <c r="B48" s="14"/>
      <c r="C48" s="14"/>
      <c r="D48" s="54"/>
      <c r="E48" s="14"/>
      <c r="F48" s="25"/>
      <c r="G48" s="65"/>
    </row>
    <row r="49" ht="18.0" customHeight="1">
      <c r="A49" s="38"/>
      <c r="B49" s="24"/>
      <c r="C49" s="24"/>
      <c r="D49" s="51"/>
      <c r="E49" s="24"/>
      <c r="F49" s="25"/>
      <c r="G49" s="65"/>
    </row>
    <row r="50" ht="18.0" customHeight="1">
      <c r="A50" s="35"/>
      <c r="B50" s="14"/>
      <c r="C50" s="14"/>
      <c r="D50" s="54"/>
      <c r="E50" s="14"/>
      <c r="F50" s="25"/>
      <c r="G50" s="65"/>
    </row>
    <row r="51" ht="18.0" customHeight="1">
      <c r="A51" s="38"/>
      <c r="B51" s="24"/>
      <c r="C51" s="24"/>
      <c r="D51" s="51"/>
      <c r="E51" s="24"/>
      <c r="F51" s="25"/>
      <c r="G51" s="65"/>
    </row>
    <row r="52" ht="18.0" customHeight="1">
      <c r="A52" s="35"/>
      <c r="B52" s="14"/>
      <c r="C52" s="14"/>
      <c r="D52" s="54"/>
      <c r="E52" s="14"/>
      <c r="F52" s="25"/>
      <c r="G52" s="65"/>
    </row>
    <row r="53" ht="18.0" customHeight="1">
      <c r="A53" s="38"/>
      <c r="B53" s="24"/>
      <c r="C53" s="24"/>
      <c r="D53" s="51"/>
      <c r="E53" s="24"/>
      <c r="F53" s="25"/>
      <c r="G53" s="65"/>
    </row>
    <row r="54" ht="18.0" customHeight="1">
      <c r="A54" s="35"/>
      <c r="B54" s="14"/>
      <c r="C54" s="14"/>
      <c r="D54" s="54"/>
      <c r="E54" s="14"/>
      <c r="F54" s="25"/>
      <c r="G54" s="65"/>
    </row>
    <row r="55" ht="18.0" customHeight="1">
      <c r="A55" s="38"/>
      <c r="B55" s="24"/>
      <c r="C55" s="24"/>
      <c r="D55" s="51"/>
      <c r="E55" s="24"/>
      <c r="F55" s="25"/>
      <c r="G55" s="65"/>
    </row>
    <row r="56" ht="18.0" customHeight="1">
      <c r="A56" s="35"/>
      <c r="B56" s="14"/>
      <c r="C56" s="14"/>
      <c r="D56" s="54"/>
      <c r="E56" s="14"/>
      <c r="F56" s="25"/>
      <c r="G56" s="65"/>
    </row>
    <row r="57" ht="18.0" customHeight="1">
      <c r="A57" s="38"/>
      <c r="B57" s="24"/>
      <c r="C57" s="24"/>
      <c r="D57" s="51"/>
      <c r="E57" s="24"/>
      <c r="F57" s="25"/>
      <c r="G57" s="65"/>
    </row>
    <row r="58" ht="18.0" customHeight="1">
      <c r="A58" s="35"/>
      <c r="B58" s="14"/>
      <c r="C58" s="14"/>
      <c r="D58" s="54"/>
      <c r="E58" s="14"/>
      <c r="F58" s="25"/>
      <c r="G58" s="65"/>
    </row>
    <row r="59" ht="18.0" customHeight="1">
      <c r="A59" s="38"/>
      <c r="B59" s="24"/>
      <c r="C59" s="24"/>
      <c r="D59" s="51"/>
      <c r="E59" s="24"/>
      <c r="F59" s="25"/>
      <c r="G59" s="65"/>
    </row>
    <row r="60" ht="18.0" customHeight="1">
      <c r="A60" s="35"/>
      <c r="B60" s="14"/>
      <c r="C60" s="14"/>
      <c r="D60" s="54"/>
      <c r="E60" s="14"/>
      <c r="F60" s="25"/>
      <c r="G60" s="65"/>
    </row>
    <row r="61" ht="18.0" customHeight="1">
      <c r="A61" s="38"/>
      <c r="B61" s="24"/>
      <c r="C61" s="24"/>
      <c r="D61" s="51"/>
      <c r="E61" s="24"/>
      <c r="F61" s="25"/>
      <c r="G61" s="65"/>
    </row>
    <row r="62" ht="18.0" customHeight="1">
      <c r="A62" s="35"/>
      <c r="B62" s="14"/>
      <c r="C62" s="14"/>
      <c r="D62" s="54"/>
      <c r="E62" s="14"/>
      <c r="F62" s="25"/>
      <c r="G62" s="65"/>
    </row>
    <row r="63" ht="18.0" customHeight="1">
      <c r="A63" s="38"/>
      <c r="B63" s="24"/>
      <c r="C63" s="24"/>
      <c r="D63" s="51"/>
      <c r="E63" s="24"/>
      <c r="F63" s="25"/>
      <c r="G63" s="65"/>
    </row>
    <row r="64" ht="18.0" customHeight="1">
      <c r="A64" s="35"/>
      <c r="B64" s="14"/>
      <c r="C64" s="14"/>
      <c r="D64" s="54"/>
      <c r="E64" s="14"/>
      <c r="F64" s="25"/>
      <c r="G64" s="65"/>
    </row>
    <row r="65" ht="18.0" customHeight="1">
      <c r="A65" s="38"/>
      <c r="B65" s="24"/>
      <c r="C65" s="24"/>
      <c r="D65" s="51"/>
      <c r="E65" s="24"/>
      <c r="F65" s="25"/>
      <c r="G65" s="65"/>
    </row>
    <row r="66" ht="18.0" customHeight="1">
      <c r="A66" s="35"/>
      <c r="B66" s="14"/>
      <c r="C66" s="14"/>
      <c r="D66" s="54"/>
      <c r="E66" s="14"/>
      <c r="F66" s="25"/>
      <c r="G66" s="65"/>
    </row>
    <row r="67" ht="18.0" customHeight="1">
      <c r="A67" s="38"/>
      <c r="B67" s="24"/>
      <c r="C67" s="24"/>
      <c r="D67" s="51"/>
      <c r="E67" s="24"/>
      <c r="F67" s="25"/>
      <c r="G67" s="65"/>
    </row>
    <row r="68" ht="18.0" customHeight="1">
      <c r="A68" s="35"/>
      <c r="B68" s="14"/>
      <c r="C68" s="14"/>
      <c r="D68" s="54"/>
      <c r="E68" s="14"/>
      <c r="F68" s="25"/>
      <c r="G68" s="65"/>
    </row>
    <row r="69" ht="18.0" customHeight="1">
      <c r="A69" s="38"/>
      <c r="B69" s="24"/>
      <c r="C69" s="24"/>
      <c r="D69" s="51"/>
      <c r="E69" s="24"/>
      <c r="F69" s="25"/>
      <c r="G69" s="65"/>
    </row>
    <row r="70" ht="18.0" customHeight="1">
      <c r="A70" s="35"/>
      <c r="B70" s="14"/>
      <c r="C70" s="14"/>
      <c r="D70" s="54"/>
      <c r="E70" s="14"/>
      <c r="F70" s="25"/>
      <c r="G70" s="65"/>
    </row>
    <row r="71" ht="18.0" customHeight="1">
      <c r="A71" s="38"/>
      <c r="B71" s="24"/>
      <c r="C71" s="24"/>
      <c r="D71" s="51"/>
      <c r="E71" s="24"/>
      <c r="F71" s="25"/>
      <c r="G71" s="65"/>
    </row>
    <row r="72" ht="18.0" customHeight="1">
      <c r="A72" s="35"/>
      <c r="B72" s="14"/>
      <c r="C72" s="14"/>
      <c r="D72" s="54"/>
      <c r="E72" s="14"/>
      <c r="F72" s="25"/>
      <c r="G72" s="65"/>
    </row>
    <row r="73" ht="18.0" customHeight="1">
      <c r="A73" s="38"/>
      <c r="B73" s="24"/>
      <c r="C73" s="24"/>
      <c r="D73" s="51"/>
      <c r="E73" s="24"/>
      <c r="F73" s="25"/>
      <c r="G73" s="65"/>
    </row>
    <row r="74" ht="18.0" customHeight="1">
      <c r="A74" s="35"/>
      <c r="B74" s="14"/>
      <c r="C74" s="14"/>
      <c r="D74" s="54"/>
      <c r="E74" s="14"/>
      <c r="F74" s="25"/>
      <c r="G74" s="65"/>
    </row>
    <row r="75" ht="18.0" customHeight="1">
      <c r="A75" s="38"/>
      <c r="B75" s="24"/>
      <c r="C75" s="24"/>
      <c r="D75" s="51"/>
      <c r="E75" s="24"/>
      <c r="F75" s="25"/>
      <c r="G75" s="65"/>
    </row>
    <row r="76" ht="18.0" customHeight="1">
      <c r="A76" s="35"/>
      <c r="B76" s="14"/>
      <c r="C76" s="14"/>
      <c r="D76" s="54"/>
      <c r="E76" s="14"/>
      <c r="F76" s="25"/>
      <c r="G76" s="65"/>
    </row>
    <row r="77" ht="18.0" customHeight="1">
      <c r="A77" s="38"/>
      <c r="B77" s="24"/>
      <c r="C77" s="24"/>
      <c r="D77" s="51"/>
      <c r="E77" s="24"/>
      <c r="F77" s="25"/>
      <c r="G77" s="65"/>
    </row>
    <row r="78" ht="18.0" customHeight="1">
      <c r="A78" s="35"/>
      <c r="B78" s="14"/>
      <c r="C78" s="14"/>
      <c r="D78" s="54"/>
      <c r="E78" s="14"/>
      <c r="F78" s="25"/>
      <c r="G78" s="65"/>
    </row>
    <row r="79" ht="18.0" customHeight="1">
      <c r="A79" s="38"/>
      <c r="B79" s="24"/>
      <c r="C79" s="24"/>
      <c r="D79" s="51"/>
      <c r="E79" s="24"/>
      <c r="F79" s="25"/>
      <c r="G79" s="65"/>
    </row>
    <row r="80" ht="18.0" customHeight="1">
      <c r="A80" s="35"/>
      <c r="B80" s="14"/>
      <c r="C80" s="14"/>
      <c r="D80" s="54"/>
      <c r="E80" s="14"/>
      <c r="F80" s="25"/>
      <c r="G80" s="65"/>
    </row>
    <row r="81" ht="18.0" customHeight="1">
      <c r="A81" s="38"/>
      <c r="B81" s="24"/>
      <c r="C81" s="24"/>
      <c r="D81" s="51"/>
      <c r="E81" s="24"/>
      <c r="F81" s="25"/>
      <c r="G81" s="65"/>
    </row>
    <row r="82" ht="18.0" customHeight="1">
      <c r="A82" s="35"/>
      <c r="B82" s="14"/>
      <c r="C82" s="14"/>
      <c r="D82" s="54"/>
      <c r="E82" s="14"/>
      <c r="F82" s="25"/>
      <c r="G82" s="65"/>
    </row>
    <row r="83" ht="18.0" customHeight="1">
      <c r="A83" s="38"/>
      <c r="B83" s="24"/>
      <c r="C83" s="24"/>
      <c r="D83" s="51"/>
      <c r="E83" s="24"/>
      <c r="F83" s="25"/>
      <c r="G83" s="65"/>
    </row>
    <row r="84" ht="18.0" customHeight="1">
      <c r="A84" s="35"/>
      <c r="B84" s="14"/>
      <c r="C84" s="14"/>
      <c r="D84" s="54"/>
      <c r="E84" s="14"/>
      <c r="F84" s="25"/>
      <c r="G84" s="65"/>
    </row>
    <row r="85" ht="18.0" customHeight="1">
      <c r="A85" s="38"/>
      <c r="B85" s="24"/>
      <c r="C85" s="24"/>
      <c r="D85" s="51"/>
      <c r="E85" s="24"/>
      <c r="F85" s="25"/>
      <c r="G85" s="65"/>
    </row>
    <row r="86" ht="18.0" customHeight="1">
      <c r="A86" s="35"/>
      <c r="B86" s="14"/>
      <c r="C86" s="14"/>
      <c r="D86" s="54"/>
      <c r="E86" s="14"/>
      <c r="F86" s="25"/>
      <c r="G86" s="65"/>
    </row>
    <row r="87" ht="18.0" customHeight="1">
      <c r="A87" s="38"/>
      <c r="B87" s="24"/>
      <c r="C87" s="24"/>
      <c r="D87" s="51"/>
      <c r="E87" s="24"/>
      <c r="F87" s="25"/>
      <c r="G87" s="65"/>
    </row>
    <row r="88" ht="18.0" customHeight="1">
      <c r="A88" s="35"/>
      <c r="B88" s="14"/>
      <c r="C88" s="14"/>
      <c r="D88" s="54"/>
      <c r="E88" s="14"/>
      <c r="F88" s="25"/>
      <c r="G88" s="65"/>
    </row>
    <row r="89" ht="18.0" customHeight="1">
      <c r="A89" s="38"/>
      <c r="B89" s="24"/>
      <c r="C89" s="24"/>
      <c r="D89" s="51"/>
      <c r="E89" s="24"/>
      <c r="F89" s="25"/>
      <c r="G89" s="65"/>
    </row>
    <row r="90" ht="18.0" customHeight="1">
      <c r="A90" s="35"/>
      <c r="B90" s="14"/>
      <c r="C90" s="14"/>
      <c r="D90" s="54"/>
      <c r="E90" s="14"/>
      <c r="F90" s="25"/>
      <c r="G90" s="65"/>
    </row>
    <row r="91" ht="18.0" customHeight="1">
      <c r="A91" s="38"/>
      <c r="B91" s="24"/>
      <c r="C91" s="24"/>
      <c r="D91" s="51"/>
      <c r="E91" s="24"/>
      <c r="F91" s="25"/>
      <c r="G91" s="65"/>
    </row>
    <row r="92" ht="18.0" customHeight="1">
      <c r="A92" s="35"/>
      <c r="B92" s="14"/>
      <c r="C92" s="14"/>
      <c r="D92" s="54"/>
      <c r="E92" s="14"/>
      <c r="F92" s="25"/>
      <c r="G92" s="65"/>
    </row>
    <row r="93" ht="18.0" customHeight="1">
      <c r="A93" s="38"/>
      <c r="B93" s="24"/>
      <c r="C93" s="24"/>
      <c r="D93" s="51"/>
      <c r="E93" s="24"/>
      <c r="F93" s="25"/>
      <c r="G93" s="65"/>
    </row>
    <row r="94" ht="18.0" customHeight="1">
      <c r="A94" s="35"/>
      <c r="B94" s="14"/>
      <c r="C94" s="14"/>
      <c r="D94" s="54"/>
      <c r="E94" s="14"/>
      <c r="F94" s="25"/>
      <c r="G94" s="65"/>
    </row>
    <row r="95" ht="18.0" customHeight="1">
      <c r="A95" s="38"/>
      <c r="B95" s="24"/>
      <c r="C95" s="24"/>
      <c r="D95" s="51"/>
      <c r="E95" s="24"/>
      <c r="F95" s="25"/>
      <c r="G95" s="65"/>
    </row>
    <row r="96" ht="18.0" customHeight="1">
      <c r="A96" s="35"/>
      <c r="B96" s="14"/>
      <c r="C96" s="14"/>
      <c r="D96" s="54"/>
      <c r="E96" s="14"/>
      <c r="F96" s="25"/>
      <c r="G96" s="65"/>
    </row>
    <row r="97" ht="18.0" customHeight="1">
      <c r="A97" s="38"/>
      <c r="B97" s="24"/>
      <c r="C97" s="24"/>
      <c r="D97" s="51"/>
      <c r="E97" s="24"/>
      <c r="F97" s="25"/>
      <c r="G97" s="65"/>
    </row>
    <row r="98" ht="18.0" customHeight="1">
      <c r="A98" s="35"/>
      <c r="B98" s="14"/>
      <c r="C98" s="14"/>
      <c r="D98" s="54"/>
      <c r="E98" s="14"/>
      <c r="F98" s="25"/>
      <c r="G98" s="65"/>
    </row>
    <row r="99" ht="18.0" customHeight="1">
      <c r="A99" s="38"/>
      <c r="B99" s="24"/>
      <c r="C99" s="24"/>
      <c r="D99" s="51"/>
      <c r="E99" s="24"/>
      <c r="F99" s="25"/>
      <c r="G99" s="65"/>
    </row>
    <row r="100" ht="18.0" customHeight="1">
      <c r="A100" s="35"/>
      <c r="B100" s="14"/>
      <c r="C100" s="14"/>
      <c r="D100" s="54"/>
      <c r="E100" s="14"/>
      <c r="F100" s="25"/>
      <c r="G100" s="65"/>
    </row>
    <row r="101" ht="18.0" customHeight="1">
      <c r="A101" s="38"/>
      <c r="B101" s="24"/>
      <c r="C101" s="24"/>
      <c r="D101" s="51"/>
      <c r="E101" s="24"/>
      <c r="F101" s="53"/>
      <c r="G101" s="53"/>
    </row>
    <row r="102" ht="18.0" customHeight="1">
      <c r="A102" s="35"/>
      <c r="B102" s="14"/>
      <c r="C102" s="14"/>
      <c r="D102" s="54"/>
      <c r="E102" s="14"/>
      <c r="F102" s="53"/>
      <c r="G102" s="53"/>
    </row>
    <row r="103" ht="18.0" customHeight="1">
      <c r="A103" s="38"/>
      <c r="B103" s="24"/>
      <c r="C103" s="24"/>
      <c r="D103" s="51"/>
      <c r="E103" s="24"/>
      <c r="F103" s="53"/>
      <c r="G103" s="53"/>
    </row>
    <row r="104" ht="18.0" customHeight="1">
      <c r="A104" s="35"/>
      <c r="B104" s="14"/>
      <c r="C104" s="14"/>
      <c r="D104" s="54"/>
      <c r="E104" s="14"/>
      <c r="F104" s="53"/>
      <c r="G104" s="53"/>
    </row>
    <row r="105" ht="18.0" customHeight="1">
      <c r="A105" s="38"/>
      <c r="B105" s="24"/>
      <c r="C105" s="24"/>
      <c r="D105" s="51"/>
      <c r="E105" s="24"/>
      <c r="F105" s="53"/>
      <c r="G105" s="53"/>
    </row>
    <row r="106" ht="18.0" customHeight="1">
      <c r="A106" s="35"/>
      <c r="B106" s="14"/>
      <c r="C106" s="14"/>
      <c r="D106" s="54"/>
      <c r="E106" s="14"/>
      <c r="F106" s="53"/>
      <c r="G106" s="53"/>
    </row>
    <row r="107" ht="18.0" customHeight="1">
      <c r="A107" s="38"/>
      <c r="B107" s="24"/>
      <c r="C107" s="24"/>
      <c r="D107" s="51"/>
      <c r="E107" s="24"/>
      <c r="F107" s="53"/>
      <c r="G107" s="53"/>
    </row>
    <row r="108" ht="18.0" customHeight="1">
      <c r="A108" s="35"/>
      <c r="B108" s="14"/>
      <c r="C108" s="14"/>
      <c r="D108" s="54"/>
      <c r="E108" s="14"/>
      <c r="F108" s="53"/>
      <c r="G108" s="53"/>
    </row>
    <row r="109" ht="18.0" customHeight="1">
      <c r="A109" s="38"/>
      <c r="B109" s="24"/>
      <c r="C109" s="24"/>
      <c r="D109" s="51"/>
      <c r="E109" s="24"/>
      <c r="F109" s="53"/>
      <c r="G109" s="53"/>
    </row>
    <row r="110" ht="18.0" customHeight="1">
      <c r="A110" s="35"/>
      <c r="B110" s="14"/>
      <c r="C110" s="14"/>
      <c r="D110" s="54"/>
      <c r="E110" s="14"/>
      <c r="F110" s="53"/>
      <c r="G110" s="53"/>
    </row>
    <row r="111" ht="18.0" customHeight="1">
      <c r="A111" s="38"/>
      <c r="B111" s="24"/>
      <c r="C111" s="24"/>
      <c r="D111" s="51"/>
      <c r="E111" s="24"/>
      <c r="F111" s="53"/>
      <c r="G111" s="53"/>
    </row>
    <row r="112" ht="18.0" customHeight="1">
      <c r="A112" s="35"/>
      <c r="B112" s="14"/>
      <c r="C112" s="14"/>
      <c r="D112" s="54"/>
      <c r="E112" s="14"/>
      <c r="F112" s="53"/>
      <c r="G112" s="53"/>
    </row>
    <row r="113" ht="18.0" customHeight="1">
      <c r="A113" s="38"/>
      <c r="B113" s="24"/>
      <c r="C113" s="24"/>
      <c r="D113" s="51"/>
      <c r="E113" s="24"/>
      <c r="F113" s="53"/>
      <c r="G113" s="53"/>
    </row>
    <row r="114" ht="18.0" customHeight="1">
      <c r="A114" s="35"/>
      <c r="B114" s="14"/>
      <c r="C114" s="14"/>
      <c r="D114" s="54"/>
      <c r="E114" s="14"/>
      <c r="F114" s="53"/>
      <c r="G114" s="53"/>
    </row>
    <row r="115" ht="18.0" customHeight="1">
      <c r="A115" s="38"/>
      <c r="B115" s="24"/>
      <c r="C115" s="24"/>
      <c r="D115" s="51"/>
      <c r="E115" s="24"/>
      <c r="F115" s="53"/>
      <c r="G115" s="53"/>
    </row>
    <row r="116" ht="18.0" customHeight="1">
      <c r="A116" s="35"/>
      <c r="B116" s="14"/>
      <c r="C116" s="14"/>
      <c r="D116" s="54"/>
      <c r="E116" s="14"/>
      <c r="F116" s="53"/>
      <c r="G116" s="53"/>
    </row>
    <row r="117" ht="18.0" customHeight="1">
      <c r="A117" s="38"/>
      <c r="B117" s="24"/>
      <c r="C117" s="24"/>
      <c r="D117" s="51"/>
      <c r="E117" s="24"/>
      <c r="F117" s="53"/>
      <c r="G117" s="53"/>
    </row>
    <row r="118" ht="18.0" customHeight="1">
      <c r="A118" s="35"/>
      <c r="B118" s="14"/>
      <c r="C118" s="14"/>
      <c r="D118" s="54"/>
      <c r="E118" s="14"/>
      <c r="F118" s="53"/>
      <c r="G118" s="53"/>
    </row>
    <row r="119" ht="18.0" customHeight="1">
      <c r="A119" s="38"/>
      <c r="B119" s="24"/>
      <c r="C119" s="24"/>
      <c r="D119" s="51"/>
      <c r="E119" s="24"/>
      <c r="F119" s="53"/>
      <c r="G119" s="53"/>
    </row>
    <row r="120" ht="18.0" customHeight="1">
      <c r="A120" s="35"/>
      <c r="B120" s="14"/>
      <c r="C120" s="14"/>
      <c r="D120" s="54"/>
      <c r="E120" s="14"/>
      <c r="F120" s="53"/>
      <c r="G120" s="53"/>
    </row>
    <row r="121" ht="18.0" customHeight="1">
      <c r="A121" s="38"/>
      <c r="B121" s="24"/>
      <c r="C121" s="24"/>
      <c r="D121" s="51"/>
      <c r="E121" s="24"/>
      <c r="F121" s="53"/>
      <c r="G121" s="53"/>
    </row>
    <row r="122" ht="18.0" customHeight="1">
      <c r="A122" s="35"/>
      <c r="B122" s="14"/>
      <c r="C122" s="14"/>
      <c r="D122" s="54"/>
      <c r="E122" s="14"/>
      <c r="F122" s="53"/>
      <c r="G122" s="53"/>
    </row>
    <row r="123" ht="18.0" customHeight="1">
      <c r="A123" s="38"/>
      <c r="B123" s="24"/>
      <c r="C123" s="24"/>
      <c r="D123" s="51"/>
      <c r="E123" s="24"/>
      <c r="F123" s="53"/>
      <c r="G123" s="53"/>
    </row>
    <row r="124" ht="18.0" customHeight="1">
      <c r="A124" s="35"/>
      <c r="B124" s="14"/>
      <c r="C124" s="14"/>
      <c r="D124" s="54"/>
      <c r="E124" s="14"/>
      <c r="F124" s="53"/>
      <c r="G124" s="53"/>
    </row>
    <row r="125" ht="18.0" customHeight="1">
      <c r="A125" s="38"/>
      <c r="B125" s="24"/>
      <c r="C125" s="24"/>
      <c r="D125" s="51"/>
      <c r="E125" s="24"/>
      <c r="F125" s="53"/>
      <c r="G125" s="53"/>
    </row>
    <row r="126" ht="18.0" customHeight="1">
      <c r="A126" s="35"/>
      <c r="B126" s="14"/>
      <c r="C126" s="14"/>
      <c r="D126" s="54"/>
      <c r="E126" s="14"/>
      <c r="F126" s="53"/>
      <c r="G126" s="53"/>
    </row>
    <row r="127" ht="18.0" customHeight="1">
      <c r="A127" s="38"/>
      <c r="B127" s="24"/>
      <c r="C127" s="24"/>
      <c r="D127" s="51"/>
      <c r="E127" s="24"/>
      <c r="F127" s="53"/>
      <c r="G127" s="53"/>
    </row>
    <row r="128" ht="18.0" customHeight="1">
      <c r="A128" s="35"/>
      <c r="B128" s="14"/>
      <c r="C128" s="14"/>
      <c r="D128" s="54"/>
      <c r="E128" s="14"/>
      <c r="F128" s="53"/>
      <c r="G128" s="53"/>
    </row>
    <row r="129" ht="18.0" customHeight="1">
      <c r="A129" s="38"/>
      <c r="B129" s="24"/>
      <c r="C129" s="24"/>
      <c r="D129" s="51"/>
      <c r="E129" s="24"/>
      <c r="F129" s="53"/>
      <c r="G129" s="53"/>
    </row>
    <row r="130" ht="18.0" customHeight="1">
      <c r="A130" s="35"/>
      <c r="B130" s="14"/>
      <c r="C130" s="14"/>
      <c r="D130" s="54"/>
      <c r="E130" s="14"/>
      <c r="F130" s="53"/>
      <c r="G130" s="53"/>
    </row>
    <row r="131" ht="18.0" customHeight="1">
      <c r="A131" s="38"/>
      <c r="B131" s="24"/>
      <c r="C131" s="24"/>
      <c r="D131" s="51"/>
      <c r="E131" s="24"/>
      <c r="F131" s="53"/>
      <c r="G131" s="53"/>
    </row>
    <row r="132" ht="18.0" customHeight="1">
      <c r="A132" s="35"/>
      <c r="B132" s="14"/>
      <c r="C132" s="14"/>
      <c r="D132" s="54"/>
      <c r="E132" s="14"/>
      <c r="F132" s="53"/>
      <c r="G132" s="53"/>
    </row>
    <row r="133" ht="18.0" customHeight="1">
      <c r="A133" s="38"/>
      <c r="B133" s="24"/>
      <c r="C133" s="24"/>
      <c r="D133" s="51"/>
      <c r="E133" s="24"/>
      <c r="F133" s="53"/>
      <c r="G133" s="53"/>
    </row>
    <row r="134" ht="18.0" customHeight="1">
      <c r="A134" s="35"/>
      <c r="B134" s="14"/>
      <c r="C134" s="14"/>
      <c r="D134" s="54"/>
      <c r="E134" s="14"/>
      <c r="F134" s="53"/>
      <c r="G134" s="53"/>
    </row>
    <row r="135" ht="18.0" customHeight="1">
      <c r="A135" s="38"/>
      <c r="B135" s="24"/>
      <c r="C135" s="24"/>
      <c r="D135" s="51"/>
      <c r="E135" s="24"/>
      <c r="F135" s="53"/>
      <c r="G135" s="53"/>
    </row>
    <row r="136" ht="18.0" customHeight="1">
      <c r="A136" s="35"/>
      <c r="B136" s="14"/>
      <c r="C136" s="14"/>
      <c r="D136" s="54"/>
      <c r="E136" s="14"/>
      <c r="F136" s="53"/>
      <c r="G136" s="53"/>
    </row>
    <row r="137" ht="18.0" customHeight="1">
      <c r="A137" s="38"/>
      <c r="B137" s="24"/>
      <c r="C137" s="24"/>
      <c r="D137" s="51"/>
      <c r="E137" s="24"/>
      <c r="F137" s="53"/>
      <c r="G137" s="53"/>
    </row>
    <row r="138" ht="18.0" customHeight="1">
      <c r="A138" s="35"/>
      <c r="B138" s="14"/>
      <c r="C138" s="14"/>
      <c r="D138" s="54"/>
      <c r="E138" s="14"/>
      <c r="F138" s="53"/>
      <c r="G138" s="53"/>
    </row>
    <row r="139" ht="18.0" customHeight="1">
      <c r="A139" s="38"/>
      <c r="B139" s="24"/>
      <c r="C139" s="24"/>
      <c r="D139" s="51"/>
      <c r="E139" s="24"/>
      <c r="F139" s="53"/>
      <c r="G139" s="53"/>
    </row>
    <row r="140" ht="18.0" customHeight="1">
      <c r="A140" s="35"/>
      <c r="B140" s="14"/>
      <c r="C140" s="14"/>
      <c r="D140" s="54"/>
      <c r="E140" s="14"/>
      <c r="F140" s="53"/>
      <c r="G140" s="53"/>
    </row>
    <row r="141" ht="18.0" customHeight="1">
      <c r="A141" s="38"/>
      <c r="B141" s="24"/>
      <c r="C141" s="24"/>
      <c r="D141" s="51"/>
      <c r="E141" s="24"/>
      <c r="F141" s="53"/>
      <c r="G141" s="53"/>
    </row>
    <row r="142" ht="18.0" customHeight="1">
      <c r="A142" s="35"/>
      <c r="B142" s="14"/>
      <c r="C142" s="14"/>
      <c r="D142" s="54"/>
      <c r="E142" s="14"/>
      <c r="F142" s="53"/>
      <c r="G142" s="53"/>
    </row>
    <row r="143" ht="18.0" customHeight="1">
      <c r="A143" s="38"/>
      <c r="B143" s="24"/>
      <c r="C143" s="24"/>
      <c r="D143" s="51"/>
      <c r="E143" s="24"/>
      <c r="F143" s="53"/>
      <c r="G143" s="53"/>
    </row>
    <row r="144" ht="18.0" customHeight="1">
      <c r="A144" s="35"/>
      <c r="B144" s="14"/>
      <c r="C144" s="14"/>
      <c r="D144" s="54"/>
      <c r="E144" s="14"/>
      <c r="F144" s="53"/>
      <c r="G144" s="53"/>
    </row>
    <row r="145" ht="18.0" customHeight="1">
      <c r="A145" s="38"/>
      <c r="B145" s="24"/>
      <c r="C145" s="24"/>
      <c r="D145" s="51"/>
      <c r="E145" s="24"/>
      <c r="F145" s="53"/>
      <c r="G145" s="53"/>
    </row>
    <row r="146" ht="18.0" customHeight="1">
      <c r="A146" s="35"/>
      <c r="B146" s="14"/>
      <c r="C146" s="14"/>
      <c r="D146" s="54"/>
      <c r="E146" s="14"/>
      <c r="F146" s="53"/>
      <c r="G146" s="53"/>
    </row>
    <row r="147" ht="18.0" customHeight="1">
      <c r="A147" s="38"/>
      <c r="B147" s="24"/>
      <c r="C147" s="24"/>
      <c r="D147" s="51"/>
      <c r="E147" s="24"/>
      <c r="F147" s="53"/>
      <c r="G147" s="53"/>
    </row>
    <row r="148" ht="18.0" customHeight="1">
      <c r="A148" s="35"/>
      <c r="B148" s="14"/>
      <c r="C148" s="14"/>
      <c r="D148" s="54"/>
      <c r="E148" s="14"/>
      <c r="F148" s="53"/>
      <c r="G148" s="53"/>
    </row>
    <row r="149" ht="18.0" customHeight="1">
      <c r="A149" s="38"/>
      <c r="B149" s="24"/>
      <c r="C149" s="24"/>
      <c r="D149" s="51"/>
      <c r="E149" s="24"/>
      <c r="F149" s="53"/>
      <c r="G149" s="53"/>
    </row>
    <row r="150" ht="18.0" customHeight="1">
      <c r="A150" s="35"/>
      <c r="B150" s="14"/>
      <c r="C150" s="14"/>
      <c r="D150" s="54"/>
      <c r="E150" s="14"/>
      <c r="F150" s="53"/>
      <c r="G150" s="53"/>
    </row>
    <row r="151" ht="18.0" customHeight="1">
      <c r="A151" s="38"/>
      <c r="B151" s="24"/>
      <c r="C151" s="24"/>
      <c r="D151" s="51"/>
      <c r="E151" s="24"/>
      <c r="F151" s="53"/>
      <c r="G151" s="53"/>
    </row>
    <row r="152" ht="18.0" customHeight="1">
      <c r="A152" s="35"/>
      <c r="B152" s="14"/>
      <c r="C152" s="14"/>
      <c r="D152" s="54"/>
      <c r="E152" s="14"/>
      <c r="F152" s="53"/>
      <c r="G152" s="53"/>
    </row>
    <row r="153" ht="18.0" customHeight="1">
      <c r="A153" s="38"/>
      <c r="B153" s="24"/>
      <c r="C153" s="24"/>
      <c r="D153" s="51"/>
      <c r="E153" s="24"/>
      <c r="F153" s="53"/>
      <c r="G153" s="53"/>
    </row>
    <row r="154" ht="18.0" customHeight="1">
      <c r="A154" s="35"/>
      <c r="B154" s="14"/>
      <c r="C154" s="14"/>
      <c r="D154" s="54"/>
      <c r="E154" s="14"/>
      <c r="F154" s="53"/>
      <c r="G154" s="53"/>
    </row>
    <row r="155" ht="18.0" customHeight="1">
      <c r="A155" s="38"/>
      <c r="B155" s="24"/>
      <c r="C155" s="24"/>
      <c r="D155" s="51"/>
      <c r="E155" s="24"/>
      <c r="F155" s="53"/>
      <c r="G155" s="53"/>
    </row>
    <row r="156" ht="18.0" customHeight="1">
      <c r="A156" s="35"/>
      <c r="B156" s="14"/>
      <c r="C156" s="14"/>
      <c r="D156" s="54"/>
      <c r="E156" s="14"/>
      <c r="F156" s="53"/>
      <c r="G156" s="53"/>
    </row>
    <row r="157" ht="18.0" customHeight="1">
      <c r="A157" s="38"/>
      <c r="B157" s="24"/>
      <c r="C157" s="24"/>
      <c r="D157" s="51"/>
      <c r="E157" s="24"/>
      <c r="F157" s="53"/>
      <c r="G157" s="53"/>
    </row>
    <row r="158" ht="18.0" customHeight="1">
      <c r="A158" s="35"/>
      <c r="B158" s="14"/>
      <c r="C158" s="14"/>
      <c r="D158" s="54"/>
      <c r="E158" s="14"/>
      <c r="F158" s="53"/>
      <c r="G158" s="53"/>
    </row>
    <row r="159" ht="18.0" customHeight="1">
      <c r="A159" s="38"/>
      <c r="B159" s="24"/>
      <c r="C159" s="24"/>
      <c r="D159" s="51"/>
      <c r="E159" s="24"/>
      <c r="F159" s="53"/>
      <c r="G159" s="53"/>
    </row>
    <row r="160" ht="18.0" customHeight="1">
      <c r="A160" s="35"/>
      <c r="B160" s="14"/>
      <c r="C160" s="14"/>
      <c r="D160" s="54"/>
      <c r="E160" s="14"/>
      <c r="F160" s="53"/>
      <c r="G160" s="53"/>
    </row>
    <row r="161" ht="18.0" customHeight="1">
      <c r="A161" s="38"/>
      <c r="B161" s="24"/>
      <c r="C161" s="24"/>
      <c r="D161" s="51"/>
      <c r="E161" s="24"/>
      <c r="F161" s="53"/>
      <c r="G161" s="53"/>
    </row>
    <row r="162" ht="18.0" customHeight="1">
      <c r="A162" s="35"/>
      <c r="B162" s="14"/>
      <c r="C162" s="14"/>
      <c r="D162" s="54"/>
      <c r="E162" s="14"/>
      <c r="F162" s="53"/>
      <c r="G162" s="53"/>
    </row>
    <row r="163" ht="18.0" customHeight="1">
      <c r="A163" s="38"/>
      <c r="B163" s="24"/>
      <c r="C163" s="24"/>
      <c r="D163" s="51"/>
      <c r="E163" s="24"/>
      <c r="F163" s="53"/>
      <c r="G163" s="53"/>
    </row>
    <row r="164" ht="18.0" customHeight="1">
      <c r="A164" s="35"/>
      <c r="B164" s="14"/>
      <c r="C164" s="14"/>
      <c r="D164" s="54"/>
      <c r="E164" s="14"/>
      <c r="F164" s="53"/>
      <c r="G164" s="53"/>
    </row>
    <row r="165" ht="18.0" customHeight="1">
      <c r="A165" s="38"/>
      <c r="B165" s="24"/>
      <c r="C165" s="24"/>
      <c r="D165" s="51"/>
      <c r="E165" s="24"/>
      <c r="F165" s="53"/>
      <c r="G165" s="53"/>
    </row>
    <row r="166" ht="18.0" customHeight="1">
      <c r="A166" s="35"/>
      <c r="B166" s="14"/>
      <c r="C166" s="14"/>
      <c r="D166" s="54"/>
      <c r="E166" s="14"/>
      <c r="F166" s="53"/>
      <c r="G166" s="53"/>
    </row>
    <row r="167" ht="18.0" customHeight="1">
      <c r="A167" s="38"/>
      <c r="B167" s="24"/>
      <c r="C167" s="24"/>
      <c r="D167" s="51"/>
      <c r="E167" s="24"/>
      <c r="F167" s="53"/>
      <c r="G167" s="53"/>
    </row>
    <row r="168" ht="18.0" customHeight="1">
      <c r="A168" s="35"/>
      <c r="B168" s="14"/>
      <c r="C168" s="14"/>
      <c r="D168" s="54"/>
      <c r="E168" s="14"/>
      <c r="F168" s="53"/>
      <c r="G168" s="53"/>
    </row>
    <row r="169" ht="18.0" customHeight="1">
      <c r="A169" s="38"/>
      <c r="B169" s="24"/>
      <c r="C169" s="24"/>
      <c r="D169" s="51"/>
      <c r="E169" s="24"/>
      <c r="F169" s="53"/>
      <c r="G169" s="53"/>
    </row>
    <row r="170" ht="18.0" customHeight="1">
      <c r="A170" s="35"/>
      <c r="B170" s="14"/>
      <c r="C170" s="14"/>
      <c r="D170" s="54"/>
      <c r="E170" s="14"/>
      <c r="F170" s="53"/>
      <c r="G170" s="53"/>
    </row>
    <row r="171" ht="18.0" customHeight="1">
      <c r="A171" s="38"/>
      <c r="B171" s="24"/>
      <c r="C171" s="24"/>
      <c r="D171" s="51"/>
      <c r="E171" s="24"/>
      <c r="F171" s="53"/>
      <c r="G171" s="53"/>
    </row>
    <row r="172" ht="18.0" customHeight="1">
      <c r="A172" s="35"/>
      <c r="B172" s="14"/>
      <c r="C172" s="14"/>
      <c r="D172" s="54"/>
      <c r="E172" s="14"/>
      <c r="F172" s="53"/>
      <c r="G172" s="53"/>
    </row>
    <row r="173" ht="18.0" customHeight="1">
      <c r="A173" s="38"/>
      <c r="B173" s="24"/>
      <c r="C173" s="24"/>
      <c r="D173" s="51"/>
      <c r="E173" s="24"/>
      <c r="F173" s="53"/>
      <c r="G173" s="53"/>
    </row>
    <row r="174" ht="18.0" customHeight="1">
      <c r="A174" s="35"/>
      <c r="B174" s="14"/>
      <c r="C174" s="14"/>
      <c r="D174" s="54"/>
      <c r="E174" s="14"/>
      <c r="F174" s="53"/>
      <c r="G174" s="53"/>
    </row>
    <row r="175" ht="18.0" customHeight="1">
      <c r="A175" s="38"/>
      <c r="B175" s="24"/>
      <c r="C175" s="24"/>
      <c r="D175" s="51"/>
      <c r="E175" s="24"/>
      <c r="F175" s="53"/>
      <c r="G175" s="53"/>
    </row>
    <row r="176" ht="18.0" customHeight="1">
      <c r="A176" s="35"/>
      <c r="B176" s="14"/>
      <c r="C176" s="14"/>
      <c r="D176" s="54"/>
      <c r="E176" s="14"/>
      <c r="F176" s="53"/>
      <c r="G176" s="53"/>
    </row>
    <row r="177" ht="18.0" customHeight="1">
      <c r="A177" s="38"/>
      <c r="B177" s="24"/>
      <c r="C177" s="24"/>
      <c r="D177" s="51"/>
      <c r="E177" s="24"/>
      <c r="F177" s="53"/>
      <c r="G177" s="53"/>
    </row>
    <row r="178" ht="18.0" customHeight="1">
      <c r="A178" s="35"/>
      <c r="B178" s="14"/>
      <c r="C178" s="14"/>
      <c r="D178" s="54"/>
      <c r="E178" s="14"/>
      <c r="F178" s="53"/>
      <c r="G178" s="53"/>
    </row>
    <row r="179" ht="18.0" customHeight="1">
      <c r="A179" s="38"/>
      <c r="B179" s="24"/>
      <c r="C179" s="24"/>
      <c r="D179" s="51"/>
      <c r="E179" s="24"/>
      <c r="F179" s="53"/>
      <c r="G179" s="53"/>
    </row>
    <row r="180" ht="18.0" customHeight="1">
      <c r="A180" s="35"/>
      <c r="B180" s="14"/>
      <c r="C180" s="14"/>
      <c r="D180" s="54"/>
      <c r="E180" s="14"/>
      <c r="F180" s="53"/>
      <c r="G180" s="53"/>
    </row>
    <row r="181" ht="18.0" customHeight="1">
      <c r="A181" s="38"/>
      <c r="B181" s="24"/>
      <c r="C181" s="24"/>
      <c r="D181" s="51"/>
      <c r="E181" s="24"/>
      <c r="F181" s="53"/>
      <c r="G181" s="53"/>
    </row>
    <row r="182" ht="18.0" customHeight="1">
      <c r="A182" s="35"/>
      <c r="B182" s="14"/>
      <c r="C182" s="14"/>
      <c r="D182" s="54"/>
      <c r="E182" s="14"/>
      <c r="F182" s="53"/>
      <c r="G182" s="53"/>
    </row>
    <row r="183" ht="18.0" customHeight="1">
      <c r="A183" s="38"/>
      <c r="B183" s="24"/>
      <c r="C183" s="24"/>
      <c r="D183" s="51"/>
      <c r="E183" s="24"/>
      <c r="F183" s="53"/>
      <c r="G183" s="53"/>
    </row>
    <row r="184" ht="18.0" customHeight="1">
      <c r="A184" s="35"/>
      <c r="B184" s="14"/>
      <c r="C184" s="14"/>
      <c r="D184" s="54"/>
      <c r="E184" s="14"/>
      <c r="F184" s="53"/>
      <c r="G184" s="53"/>
    </row>
    <row r="185" ht="18.0" customHeight="1">
      <c r="A185" s="38"/>
      <c r="B185" s="24"/>
      <c r="C185" s="24"/>
      <c r="D185" s="51"/>
      <c r="E185" s="24"/>
      <c r="F185" s="53"/>
      <c r="G185" s="53"/>
    </row>
    <row r="186" ht="18.0" customHeight="1">
      <c r="A186" s="35"/>
      <c r="B186" s="14"/>
      <c r="C186" s="14"/>
      <c r="D186" s="54"/>
      <c r="E186" s="14"/>
      <c r="F186" s="53"/>
      <c r="G186" s="53"/>
    </row>
    <row r="187" ht="18.0" customHeight="1">
      <c r="A187" s="38"/>
      <c r="B187" s="24"/>
      <c r="C187" s="24"/>
      <c r="D187" s="51"/>
      <c r="E187" s="24"/>
      <c r="F187" s="53"/>
      <c r="G187" s="53"/>
    </row>
    <row r="188" ht="18.0" customHeight="1">
      <c r="A188" s="35"/>
      <c r="B188" s="14"/>
      <c r="C188" s="14"/>
      <c r="D188" s="54"/>
      <c r="E188" s="14"/>
      <c r="F188" s="53"/>
      <c r="G188" s="53"/>
    </row>
    <row r="189" ht="18.0" customHeight="1">
      <c r="A189" s="38"/>
      <c r="B189" s="24"/>
      <c r="C189" s="24"/>
      <c r="D189" s="51"/>
      <c r="E189" s="24"/>
      <c r="F189" s="53"/>
      <c r="G189" s="53"/>
    </row>
    <row r="190" ht="18.0" customHeight="1">
      <c r="A190" s="35"/>
      <c r="B190" s="14"/>
      <c r="C190" s="14"/>
      <c r="D190" s="54"/>
      <c r="E190" s="14"/>
      <c r="F190" s="53"/>
      <c r="G190" s="53"/>
    </row>
    <row r="191" ht="18.0" customHeight="1">
      <c r="A191" s="38"/>
      <c r="B191" s="24"/>
      <c r="C191" s="24"/>
      <c r="D191" s="51"/>
      <c r="E191" s="24"/>
      <c r="F191" s="53"/>
      <c r="G191" s="53"/>
    </row>
    <row r="192" ht="18.0" customHeight="1">
      <c r="A192" s="35"/>
      <c r="B192" s="14"/>
      <c r="C192" s="14"/>
      <c r="D192" s="54"/>
      <c r="E192" s="14"/>
      <c r="F192" s="53"/>
      <c r="G192" s="53"/>
    </row>
    <row r="193" ht="18.0" customHeight="1">
      <c r="A193" s="38"/>
      <c r="B193" s="24"/>
      <c r="C193" s="24"/>
      <c r="D193" s="51"/>
      <c r="E193" s="24"/>
      <c r="F193" s="53"/>
      <c r="G193" s="53"/>
    </row>
    <row r="194" ht="18.0" customHeight="1">
      <c r="A194" s="35"/>
      <c r="B194" s="14"/>
      <c r="C194" s="14"/>
      <c r="D194" s="54"/>
      <c r="E194" s="14"/>
      <c r="F194" s="53"/>
      <c r="G194" s="53"/>
    </row>
    <row r="195" ht="18.0" customHeight="1">
      <c r="A195" s="38"/>
      <c r="B195" s="24"/>
      <c r="C195" s="24"/>
      <c r="D195" s="51"/>
      <c r="E195" s="24"/>
      <c r="F195" s="53"/>
      <c r="G195" s="53"/>
    </row>
    <row r="196" ht="18.0" customHeight="1">
      <c r="A196" s="35"/>
      <c r="B196" s="14"/>
      <c r="C196" s="14"/>
      <c r="D196" s="54"/>
      <c r="E196" s="14"/>
      <c r="F196" s="53"/>
      <c r="G196" s="53"/>
    </row>
    <row r="197" ht="18.0" customHeight="1">
      <c r="A197" s="38"/>
      <c r="B197" s="24"/>
      <c r="C197" s="24"/>
      <c r="D197" s="51"/>
      <c r="E197" s="24"/>
      <c r="F197" s="53"/>
      <c r="G197" s="53"/>
    </row>
    <row r="198" ht="18.0" customHeight="1">
      <c r="A198" s="35"/>
      <c r="B198" s="14"/>
      <c r="C198" s="14"/>
      <c r="D198" s="54"/>
      <c r="E198" s="14"/>
      <c r="F198" s="53"/>
      <c r="G198" s="53"/>
    </row>
    <row r="199" ht="18.0" customHeight="1">
      <c r="A199" s="38"/>
      <c r="B199" s="24"/>
      <c r="C199" s="24"/>
      <c r="D199" s="51"/>
      <c r="E199" s="24"/>
      <c r="F199" s="53"/>
      <c r="G199" s="53"/>
    </row>
    <row r="200" ht="18.0" customHeight="1">
      <c r="A200" s="35"/>
      <c r="B200" s="14"/>
      <c r="C200" s="14"/>
      <c r="D200" s="54"/>
      <c r="E200" s="14"/>
      <c r="F200" s="53"/>
      <c r="G200" s="53"/>
    </row>
    <row r="201" ht="18.0" customHeight="1">
      <c r="A201" s="38"/>
      <c r="B201" s="24"/>
      <c r="C201" s="24"/>
      <c r="D201" s="51"/>
      <c r="E201" s="24"/>
      <c r="F201" s="53"/>
      <c r="G201" s="53"/>
    </row>
    <row r="202" ht="18.0" customHeight="1">
      <c r="A202" s="35"/>
      <c r="B202" s="14"/>
      <c r="C202" s="14"/>
      <c r="D202" s="54"/>
      <c r="E202" s="14"/>
      <c r="F202" s="53"/>
      <c r="G202" s="53"/>
    </row>
    <row r="203" ht="18.0" customHeight="1">
      <c r="A203" s="38"/>
      <c r="B203" s="24"/>
      <c r="C203" s="24"/>
      <c r="D203" s="51"/>
      <c r="E203" s="24"/>
      <c r="F203" s="53"/>
      <c r="G203" s="53"/>
    </row>
    <row r="204" ht="18.0" customHeight="1">
      <c r="A204" s="35"/>
      <c r="B204" s="14"/>
      <c r="C204" s="14"/>
      <c r="D204" s="54"/>
      <c r="E204" s="14"/>
      <c r="F204" s="53"/>
      <c r="G204" s="53"/>
    </row>
    <row r="205" ht="18.0" customHeight="1">
      <c r="A205" s="38"/>
      <c r="B205" s="24"/>
      <c r="C205" s="24"/>
      <c r="D205" s="51"/>
      <c r="E205" s="24"/>
      <c r="F205" s="53"/>
      <c r="G205" s="53"/>
    </row>
    <row r="206" ht="18.0" customHeight="1">
      <c r="A206" s="35"/>
      <c r="B206" s="14"/>
      <c r="C206" s="14"/>
      <c r="D206" s="54"/>
      <c r="E206" s="14"/>
      <c r="F206" s="53"/>
      <c r="G206" s="53"/>
    </row>
    <row r="207" ht="18.0" customHeight="1">
      <c r="A207" s="38"/>
      <c r="B207" s="24"/>
      <c r="C207" s="24"/>
      <c r="D207" s="51"/>
      <c r="E207" s="24"/>
      <c r="F207" s="53"/>
      <c r="G207" s="53"/>
    </row>
    <row r="208" ht="18.0" customHeight="1">
      <c r="A208" s="35"/>
      <c r="B208" s="14"/>
      <c r="C208" s="14"/>
      <c r="D208" s="54"/>
      <c r="E208" s="14"/>
      <c r="F208" s="53"/>
      <c r="G208" s="53"/>
    </row>
    <row r="209" ht="18.0" customHeight="1">
      <c r="A209" s="38"/>
      <c r="B209" s="24"/>
      <c r="C209" s="24"/>
      <c r="D209" s="51"/>
      <c r="E209" s="24"/>
      <c r="F209" s="53"/>
      <c r="G209" s="53"/>
    </row>
    <row r="210" ht="18.0" customHeight="1">
      <c r="A210" s="35"/>
      <c r="B210" s="14"/>
      <c r="C210" s="14"/>
      <c r="D210" s="54"/>
      <c r="E210" s="14"/>
      <c r="F210" s="53"/>
      <c r="G210" s="53"/>
    </row>
    <row r="211" ht="18.0" customHeight="1">
      <c r="A211" s="38"/>
      <c r="B211" s="24"/>
      <c r="C211" s="24"/>
      <c r="D211" s="51"/>
      <c r="E211" s="24"/>
      <c r="F211" s="53"/>
      <c r="G211" s="53"/>
    </row>
    <row r="212" ht="18.0" customHeight="1">
      <c r="A212" s="35"/>
      <c r="B212" s="14"/>
      <c r="C212" s="14"/>
      <c r="D212" s="54"/>
      <c r="E212" s="14"/>
      <c r="F212" s="53"/>
      <c r="G212" s="53"/>
    </row>
    <row r="213" ht="18.0" customHeight="1">
      <c r="A213" s="38"/>
      <c r="B213" s="24"/>
      <c r="C213" s="24"/>
      <c r="D213" s="51"/>
      <c r="E213" s="24"/>
      <c r="F213" s="53"/>
      <c r="G213" s="53"/>
    </row>
    <row r="214" ht="18.0" customHeight="1">
      <c r="A214" s="35"/>
      <c r="B214" s="14"/>
      <c r="C214" s="14"/>
      <c r="D214" s="54"/>
      <c r="E214" s="14"/>
      <c r="F214" s="53"/>
      <c r="G214" s="53"/>
    </row>
    <row r="215" ht="18.0" customHeight="1">
      <c r="A215" s="38"/>
      <c r="B215" s="24"/>
      <c r="C215" s="24"/>
      <c r="D215" s="51"/>
      <c r="E215" s="24"/>
      <c r="F215" s="53"/>
      <c r="G215" s="53"/>
    </row>
    <row r="216" ht="18.0" customHeight="1">
      <c r="A216" s="35"/>
      <c r="B216" s="14"/>
      <c r="C216" s="14"/>
      <c r="D216" s="54"/>
      <c r="E216" s="14"/>
      <c r="F216" s="53"/>
      <c r="G216" s="53"/>
    </row>
    <row r="217" ht="18.0" customHeight="1">
      <c r="A217" s="38"/>
      <c r="B217" s="24"/>
      <c r="C217" s="24"/>
      <c r="D217" s="51"/>
      <c r="E217" s="24"/>
      <c r="F217" s="53"/>
      <c r="G217" s="53"/>
    </row>
    <row r="218" ht="18.0" customHeight="1">
      <c r="A218" s="35"/>
      <c r="B218" s="14"/>
      <c r="C218" s="14"/>
      <c r="D218" s="54"/>
      <c r="E218" s="14"/>
      <c r="F218" s="53"/>
      <c r="G218" s="53"/>
    </row>
    <row r="219" ht="18.0" customHeight="1">
      <c r="A219" s="38"/>
      <c r="B219" s="24"/>
      <c r="C219" s="24"/>
      <c r="D219" s="51"/>
      <c r="E219" s="24"/>
      <c r="F219" s="53"/>
      <c r="G219" s="53"/>
    </row>
    <row r="220" ht="18.0" customHeight="1">
      <c r="A220" s="35"/>
      <c r="B220" s="14"/>
      <c r="C220" s="14"/>
      <c r="D220" s="54"/>
      <c r="E220" s="14"/>
      <c r="F220" s="53"/>
      <c r="G220" s="5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2:D1000">
    <cfRule type="cellIs" dxfId="0" priority="1" operator="greaterThanOrEqual">
      <formula>8</formula>
    </cfRule>
  </conditionalFormatting>
  <conditionalFormatting sqref="D2:D1000">
    <cfRule type="cellIs" dxfId="1" priority="2" operator="between">
      <formula>7</formula>
      <formula>7.99</formula>
    </cfRule>
  </conditionalFormatting>
  <conditionalFormatting sqref="D2:D1000">
    <cfRule type="cellIs" dxfId="2" priority="3" operator="lessThan">
      <formula>7</formula>
    </cfRule>
  </conditionalFormatting>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40.0"/>
    <col customWidth="1" min="2" max="2" width="13.0"/>
    <col customWidth="1" min="3" max="3" width="14.0"/>
    <col customWidth="1" min="4" max="4" width="8.0"/>
  </cols>
  <sheetData>
    <row r="1" ht="18.0" customHeight="1">
      <c r="A1" s="2" t="s">
        <v>227</v>
      </c>
      <c r="B1" s="69" t="s">
        <v>228</v>
      </c>
      <c r="C1" s="70" t="s">
        <v>10</v>
      </c>
      <c r="D1" s="71">
        <f>COUNTA(A:A)-1</f>
        <v>135</v>
      </c>
    </row>
    <row r="2" ht="18.0" customHeight="1">
      <c r="A2" s="36" t="s">
        <v>229</v>
      </c>
      <c r="B2" s="72" t="s">
        <v>214</v>
      </c>
      <c r="C2" s="73"/>
      <c r="D2" s="73"/>
    </row>
    <row r="3" ht="18.0" customHeight="1">
      <c r="A3" s="36" t="s">
        <v>230</v>
      </c>
      <c r="B3" s="72" t="s">
        <v>214</v>
      </c>
      <c r="C3" s="74"/>
      <c r="D3" s="74"/>
    </row>
    <row r="4" ht="18.0" customHeight="1">
      <c r="A4" s="33" t="s">
        <v>231</v>
      </c>
      <c r="B4" s="55" t="s">
        <v>214</v>
      </c>
      <c r="C4" s="74"/>
      <c r="D4" s="74"/>
    </row>
    <row r="5" ht="18.0" customHeight="1">
      <c r="A5" s="33" t="s">
        <v>232</v>
      </c>
      <c r="B5" s="55" t="s">
        <v>214</v>
      </c>
      <c r="C5" s="74"/>
      <c r="D5" s="74"/>
    </row>
    <row r="6" ht="18.0" customHeight="1">
      <c r="A6" s="33" t="s">
        <v>233</v>
      </c>
      <c r="B6" s="55" t="s">
        <v>214</v>
      </c>
      <c r="C6" s="74"/>
      <c r="D6" s="74"/>
    </row>
    <row r="7" ht="18.0" customHeight="1">
      <c r="A7" s="36" t="s">
        <v>234</v>
      </c>
      <c r="B7" s="72" t="s">
        <v>235</v>
      </c>
      <c r="C7" s="74"/>
      <c r="D7" s="74"/>
    </row>
    <row r="8" ht="18.0" customHeight="1">
      <c r="A8" s="33" t="s">
        <v>236</v>
      </c>
      <c r="B8" s="55" t="s">
        <v>235</v>
      </c>
      <c r="C8" s="74"/>
      <c r="D8" s="74"/>
    </row>
    <row r="9" ht="18.0" customHeight="1">
      <c r="A9" s="36" t="s">
        <v>237</v>
      </c>
      <c r="B9" s="72" t="s">
        <v>212</v>
      </c>
      <c r="C9" s="74"/>
      <c r="D9" s="74"/>
    </row>
    <row r="10" ht="18.0" customHeight="1">
      <c r="A10" s="33" t="s">
        <v>238</v>
      </c>
      <c r="B10" s="55" t="s">
        <v>212</v>
      </c>
      <c r="C10" s="74"/>
      <c r="D10" s="74"/>
    </row>
    <row r="11" ht="18.0" customHeight="1">
      <c r="A11" s="36" t="s">
        <v>239</v>
      </c>
      <c r="B11" s="72" t="s">
        <v>212</v>
      </c>
      <c r="C11" s="74"/>
      <c r="D11" s="74"/>
    </row>
    <row r="12" ht="18.0" customHeight="1">
      <c r="A12" s="33" t="s">
        <v>240</v>
      </c>
      <c r="B12" s="55" t="s">
        <v>212</v>
      </c>
      <c r="C12" s="74"/>
      <c r="D12" s="74"/>
    </row>
    <row r="13" ht="18.0" customHeight="1">
      <c r="A13" s="36" t="s">
        <v>241</v>
      </c>
      <c r="B13" s="72" t="s">
        <v>212</v>
      </c>
      <c r="C13" s="74"/>
      <c r="D13" s="74"/>
    </row>
    <row r="14" ht="18.0" customHeight="1">
      <c r="A14" s="33" t="s">
        <v>242</v>
      </c>
      <c r="B14" s="55" t="s">
        <v>212</v>
      </c>
      <c r="C14" s="74"/>
      <c r="D14" s="74"/>
    </row>
    <row r="15" ht="18.0" customHeight="1">
      <c r="A15" s="36" t="s">
        <v>243</v>
      </c>
      <c r="B15" s="72" t="s">
        <v>212</v>
      </c>
      <c r="C15" s="74"/>
      <c r="D15" s="74"/>
    </row>
    <row r="16" ht="18.0" customHeight="1">
      <c r="A16" s="33" t="s">
        <v>244</v>
      </c>
      <c r="B16" s="55" t="s">
        <v>212</v>
      </c>
      <c r="C16" s="74"/>
      <c r="D16" s="74"/>
    </row>
    <row r="17" ht="18.0" customHeight="1">
      <c r="A17" s="36" t="s">
        <v>245</v>
      </c>
      <c r="B17" s="72" t="s">
        <v>212</v>
      </c>
      <c r="C17" s="74"/>
      <c r="D17" s="74"/>
    </row>
    <row r="18" ht="18.0" customHeight="1">
      <c r="A18" s="33" t="s">
        <v>246</v>
      </c>
      <c r="B18" s="55" t="s">
        <v>212</v>
      </c>
      <c r="C18" s="74"/>
      <c r="D18" s="74"/>
    </row>
    <row r="19" ht="18.0" customHeight="1">
      <c r="A19" s="36" t="s">
        <v>247</v>
      </c>
      <c r="B19" s="72" t="s">
        <v>212</v>
      </c>
      <c r="C19" s="74"/>
      <c r="D19" s="74"/>
    </row>
    <row r="20" ht="18.0" customHeight="1">
      <c r="A20" s="33" t="s">
        <v>248</v>
      </c>
      <c r="B20" s="55" t="s">
        <v>212</v>
      </c>
      <c r="C20" s="74"/>
      <c r="D20" s="74"/>
    </row>
    <row r="21" ht="18.0" customHeight="1">
      <c r="A21" s="33" t="s">
        <v>249</v>
      </c>
      <c r="B21" s="55" t="s">
        <v>212</v>
      </c>
      <c r="C21" s="74"/>
      <c r="D21" s="74"/>
    </row>
    <row r="22" ht="18.0" customHeight="1">
      <c r="A22" s="36" t="s">
        <v>250</v>
      </c>
      <c r="B22" s="72" t="s">
        <v>212</v>
      </c>
      <c r="C22" s="74"/>
      <c r="D22" s="74"/>
    </row>
    <row r="23" ht="18.0" customHeight="1">
      <c r="A23" s="33" t="s">
        <v>251</v>
      </c>
      <c r="B23" s="55" t="s">
        <v>212</v>
      </c>
      <c r="C23" s="74"/>
      <c r="D23" s="74"/>
    </row>
    <row r="24" ht="18.0" customHeight="1">
      <c r="A24" s="36" t="s">
        <v>252</v>
      </c>
      <c r="B24" s="72" t="s">
        <v>212</v>
      </c>
      <c r="C24" s="74"/>
      <c r="D24" s="74"/>
    </row>
    <row r="25" ht="18.0" customHeight="1">
      <c r="A25" s="36" t="s">
        <v>253</v>
      </c>
      <c r="B25" s="72" t="s">
        <v>212</v>
      </c>
      <c r="C25" s="74"/>
      <c r="D25" s="74"/>
    </row>
    <row r="26" ht="18.0" customHeight="1">
      <c r="A26" s="36" t="s">
        <v>254</v>
      </c>
      <c r="B26" s="72" t="s">
        <v>212</v>
      </c>
      <c r="C26" s="74"/>
      <c r="D26" s="74"/>
    </row>
    <row r="27" ht="18.0" customHeight="1">
      <c r="A27" s="33" t="s">
        <v>255</v>
      </c>
      <c r="B27" s="55" t="s">
        <v>212</v>
      </c>
      <c r="C27" s="74"/>
      <c r="D27" s="74"/>
    </row>
    <row r="28" ht="18.0" customHeight="1">
      <c r="A28" s="36" t="s">
        <v>256</v>
      </c>
      <c r="B28" s="72" t="s">
        <v>212</v>
      </c>
      <c r="C28" s="74"/>
      <c r="D28" s="74"/>
    </row>
    <row r="29" ht="18.0" customHeight="1">
      <c r="A29" s="36" t="s">
        <v>257</v>
      </c>
      <c r="B29" s="72" t="s">
        <v>212</v>
      </c>
      <c r="C29" s="74"/>
      <c r="D29" s="74"/>
    </row>
    <row r="30" ht="18.0" customHeight="1">
      <c r="A30" s="33" t="s">
        <v>258</v>
      </c>
      <c r="B30" s="55" t="s">
        <v>212</v>
      </c>
      <c r="C30" s="74"/>
      <c r="D30" s="74"/>
    </row>
    <row r="31" ht="18.0" customHeight="1">
      <c r="A31" s="36" t="s">
        <v>259</v>
      </c>
      <c r="B31" s="72" t="s">
        <v>212</v>
      </c>
      <c r="C31" s="74"/>
      <c r="D31" s="74"/>
    </row>
    <row r="32" ht="18.0" customHeight="1">
      <c r="A32" s="33" t="s">
        <v>260</v>
      </c>
      <c r="B32" s="55" t="s">
        <v>212</v>
      </c>
      <c r="C32" s="74"/>
      <c r="D32" s="74"/>
    </row>
    <row r="33" ht="18.0" customHeight="1">
      <c r="A33" s="33" t="s">
        <v>261</v>
      </c>
      <c r="B33" s="55" t="s">
        <v>212</v>
      </c>
      <c r="C33" s="74"/>
      <c r="D33" s="74"/>
    </row>
    <row r="34" ht="18.0" customHeight="1">
      <c r="A34" s="36" t="s">
        <v>262</v>
      </c>
      <c r="B34" s="72" t="s">
        <v>212</v>
      </c>
      <c r="C34" s="74"/>
      <c r="D34" s="74"/>
    </row>
    <row r="35" ht="18.0" customHeight="1">
      <c r="A35" s="36" t="s">
        <v>263</v>
      </c>
      <c r="B35" s="72" t="s">
        <v>212</v>
      </c>
      <c r="C35" s="74"/>
      <c r="D35" s="74"/>
    </row>
    <row r="36" ht="18.0" customHeight="1">
      <c r="A36" s="33" t="s">
        <v>264</v>
      </c>
      <c r="B36" s="55" t="s">
        <v>212</v>
      </c>
      <c r="C36" s="74"/>
      <c r="D36" s="74"/>
    </row>
    <row r="37" ht="18.0" customHeight="1">
      <c r="A37" s="33" t="s">
        <v>265</v>
      </c>
      <c r="B37" s="55" t="s">
        <v>212</v>
      </c>
      <c r="C37" s="74"/>
      <c r="D37" s="74"/>
    </row>
    <row r="38" ht="18.0" customHeight="1">
      <c r="A38" s="36" t="s">
        <v>266</v>
      </c>
      <c r="B38" s="72" t="s">
        <v>212</v>
      </c>
      <c r="C38" s="74"/>
      <c r="D38" s="74"/>
    </row>
    <row r="39" ht="18.0" customHeight="1">
      <c r="A39" s="36" t="s">
        <v>267</v>
      </c>
      <c r="B39" s="72" t="s">
        <v>212</v>
      </c>
      <c r="C39" s="74"/>
      <c r="D39" s="74"/>
    </row>
    <row r="40" ht="18.0" customHeight="1">
      <c r="A40" s="36" t="s">
        <v>268</v>
      </c>
      <c r="B40" s="72" t="s">
        <v>212</v>
      </c>
      <c r="C40" s="74"/>
      <c r="D40" s="74"/>
    </row>
    <row r="41" ht="18.0" customHeight="1">
      <c r="A41" s="33" t="s">
        <v>269</v>
      </c>
      <c r="B41" s="55" t="s">
        <v>212</v>
      </c>
      <c r="C41" s="74"/>
      <c r="D41" s="74"/>
    </row>
    <row r="42" ht="18.0" customHeight="1">
      <c r="A42" s="36" t="s">
        <v>270</v>
      </c>
      <c r="B42" s="72" t="s">
        <v>212</v>
      </c>
      <c r="C42" s="74"/>
      <c r="D42" s="74"/>
    </row>
    <row r="43" ht="18.0" customHeight="1">
      <c r="A43" s="33" t="s">
        <v>271</v>
      </c>
      <c r="B43" s="55" t="s">
        <v>212</v>
      </c>
      <c r="C43" s="74"/>
      <c r="D43" s="74"/>
    </row>
    <row r="44" ht="18.0" customHeight="1">
      <c r="A44" s="36" t="s">
        <v>272</v>
      </c>
      <c r="B44" s="72" t="s">
        <v>212</v>
      </c>
      <c r="C44" s="74"/>
      <c r="D44" s="74"/>
    </row>
    <row r="45" ht="18.0" customHeight="1">
      <c r="A45" s="33" t="s">
        <v>273</v>
      </c>
      <c r="B45" s="55" t="s">
        <v>212</v>
      </c>
      <c r="C45" s="74"/>
      <c r="D45" s="74"/>
    </row>
    <row r="46" ht="18.0" customHeight="1">
      <c r="A46" s="36" t="s">
        <v>274</v>
      </c>
      <c r="B46" s="72" t="s">
        <v>212</v>
      </c>
      <c r="C46" s="74"/>
      <c r="D46" s="74"/>
    </row>
    <row r="47" ht="18.0" customHeight="1">
      <c r="A47" s="33" t="s">
        <v>275</v>
      </c>
      <c r="B47" s="55" t="s">
        <v>212</v>
      </c>
      <c r="C47" s="74"/>
      <c r="D47" s="74"/>
    </row>
    <row r="48" ht="18.0" customHeight="1">
      <c r="A48" s="33" t="s">
        <v>276</v>
      </c>
      <c r="B48" s="55" t="s">
        <v>58</v>
      </c>
      <c r="C48" s="74"/>
      <c r="D48" s="74"/>
    </row>
    <row r="49" ht="18.0" customHeight="1">
      <c r="A49" s="33" t="s">
        <v>277</v>
      </c>
      <c r="B49" s="55" t="s">
        <v>58</v>
      </c>
      <c r="C49" s="74"/>
      <c r="D49" s="74"/>
    </row>
    <row r="50" ht="18.0" customHeight="1">
      <c r="A50" s="33" t="s">
        <v>278</v>
      </c>
      <c r="B50" s="55" t="s">
        <v>58</v>
      </c>
      <c r="C50" s="74"/>
      <c r="D50" s="74"/>
    </row>
    <row r="51" ht="18.0" customHeight="1">
      <c r="A51" s="36" t="s">
        <v>279</v>
      </c>
      <c r="B51" s="72" t="s">
        <v>58</v>
      </c>
      <c r="C51" s="74"/>
      <c r="D51" s="74"/>
    </row>
    <row r="52" ht="18.0" customHeight="1">
      <c r="A52" s="33" t="s">
        <v>280</v>
      </c>
      <c r="B52" s="55" t="s">
        <v>58</v>
      </c>
      <c r="C52" s="74"/>
      <c r="D52" s="74"/>
    </row>
    <row r="53" ht="18.0" customHeight="1">
      <c r="A53" s="36" t="s">
        <v>281</v>
      </c>
      <c r="B53" s="72" t="s">
        <v>58</v>
      </c>
      <c r="C53" s="74"/>
      <c r="D53" s="74"/>
    </row>
    <row r="54" ht="18.0" customHeight="1">
      <c r="A54" s="33" t="s">
        <v>282</v>
      </c>
      <c r="B54" s="55" t="s">
        <v>58</v>
      </c>
      <c r="C54" s="74"/>
      <c r="D54" s="74"/>
    </row>
    <row r="55" ht="18.0" customHeight="1">
      <c r="A55" s="36" t="s">
        <v>283</v>
      </c>
      <c r="B55" s="72" t="s">
        <v>58</v>
      </c>
      <c r="C55" s="74"/>
      <c r="D55" s="74"/>
    </row>
    <row r="56" ht="18.0" customHeight="1">
      <c r="A56" s="33" t="s">
        <v>284</v>
      </c>
      <c r="B56" s="55" t="s">
        <v>58</v>
      </c>
      <c r="C56" s="74"/>
      <c r="D56" s="74"/>
    </row>
    <row r="57" ht="18.0" customHeight="1">
      <c r="A57" s="36" t="s">
        <v>285</v>
      </c>
      <c r="B57" s="72" t="s">
        <v>58</v>
      </c>
      <c r="C57" s="74"/>
      <c r="D57" s="74"/>
    </row>
    <row r="58" ht="18.0" customHeight="1">
      <c r="A58" s="33" t="s">
        <v>286</v>
      </c>
      <c r="B58" s="55" t="s">
        <v>58</v>
      </c>
      <c r="C58" s="74"/>
      <c r="D58" s="74"/>
    </row>
    <row r="59" ht="18.0" customHeight="1">
      <c r="A59" s="36" t="s">
        <v>287</v>
      </c>
      <c r="B59" s="72" t="s">
        <v>58</v>
      </c>
      <c r="C59" s="74"/>
      <c r="D59" s="74"/>
    </row>
    <row r="60" ht="18.0" customHeight="1">
      <c r="A60" s="33" t="s">
        <v>288</v>
      </c>
      <c r="B60" s="55" t="s">
        <v>58</v>
      </c>
      <c r="C60" s="74"/>
      <c r="D60" s="74"/>
    </row>
    <row r="61" ht="18.0" customHeight="1">
      <c r="A61" s="36" t="s">
        <v>289</v>
      </c>
      <c r="B61" s="72" t="s">
        <v>58</v>
      </c>
      <c r="C61" s="74"/>
      <c r="D61" s="74"/>
    </row>
    <row r="62" ht="18.0" customHeight="1">
      <c r="A62" s="33" t="s">
        <v>290</v>
      </c>
      <c r="B62" s="55" t="s">
        <v>58</v>
      </c>
      <c r="C62" s="74"/>
      <c r="D62" s="74"/>
    </row>
    <row r="63" ht="18.0" customHeight="1">
      <c r="A63" s="36" t="s">
        <v>291</v>
      </c>
      <c r="B63" s="72" t="s">
        <v>58</v>
      </c>
      <c r="C63" s="74"/>
      <c r="D63" s="74"/>
    </row>
    <row r="64" ht="18.0" customHeight="1">
      <c r="A64" s="33" t="s">
        <v>292</v>
      </c>
      <c r="B64" s="55" t="s">
        <v>58</v>
      </c>
      <c r="C64" s="74"/>
      <c r="D64" s="74"/>
    </row>
    <row r="65" ht="18.0" customHeight="1">
      <c r="A65" s="36" t="s">
        <v>293</v>
      </c>
      <c r="B65" s="72" t="s">
        <v>58</v>
      </c>
      <c r="C65" s="74"/>
      <c r="D65" s="74"/>
    </row>
    <row r="66" ht="18.0" customHeight="1">
      <c r="A66" s="36" t="s">
        <v>294</v>
      </c>
      <c r="B66" s="72" t="s">
        <v>58</v>
      </c>
      <c r="C66" s="74"/>
      <c r="D66" s="74"/>
    </row>
    <row r="67" ht="18.0" customHeight="1">
      <c r="A67" s="33" t="s">
        <v>295</v>
      </c>
      <c r="B67" s="55" t="s">
        <v>58</v>
      </c>
      <c r="C67" s="74"/>
      <c r="D67" s="74"/>
    </row>
    <row r="68" ht="18.0" customHeight="1">
      <c r="A68" s="36" t="s">
        <v>296</v>
      </c>
      <c r="B68" s="72" t="s">
        <v>58</v>
      </c>
      <c r="C68" s="74"/>
      <c r="D68" s="74"/>
    </row>
    <row r="69" ht="18.0" customHeight="1">
      <c r="A69" s="33" t="s">
        <v>297</v>
      </c>
      <c r="B69" s="55" t="s">
        <v>58</v>
      </c>
      <c r="C69" s="74"/>
      <c r="D69" s="74"/>
    </row>
    <row r="70" ht="18.0" customHeight="1">
      <c r="A70" s="36" t="s">
        <v>298</v>
      </c>
      <c r="B70" s="72" t="s">
        <v>58</v>
      </c>
      <c r="C70" s="74"/>
      <c r="D70" s="74"/>
    </row>
    <row r="71" ht="18.0" customHeight="1">
      <c r="A71" s="33" t="s">
        <v>299</v>
      </c>
      <c r="B71" s="55" t="s">
        <v>58</v>
      </c>
      <c r="C71" s="74"/>
      <c r="D71" s="74"/>
    </row>
    <row r="72" ht="18.0" customHeight="1">
      <c r="A72" s="36" t="s">
        <v>300</v>
      </c>
      <c r="B72" s="72" t="s">
        <v>58</v>
      </c>
      <c r="C72" s="74"/>
      <c r="D72" s="74"/>
    </row>
    <row r="73" ht="18.0" customHeight="1">
      <c r="A73" s="33" t="s">
        <v>301</v>
      </c>
      <c r="B73" s="55" t="s">
        <v>58</v>
      </c>
      <c r="C73" s="74"/>
      <c r="D73" s="74"/>
    </row>
    <row r="74" ht="18.0" customHeight="1">
      <c r="A74" s="36" t="s">
        <v>302</v>
      </c>
      <c r="B74" s="72" t="s">
        <v>58</v>
      </c>
      <c r="C74" s="74"/>
      <c r="D74" s="74"/>
    </row>
    <row r="75" ht="18.0" customHeight="1">
      <c r="A75" s="33" t="s">
        <v>303</v>
      </c>
      <c r="B75" s="55" t="s">
        <v>58</v>
      </c>
      <c r="C75" s="74"/>
      <c r="D75" s="74"/>
    </row>
    <row r="76" ht="18.0" customHeight="1">
      <c r="A76" s="36" t="s">
        <v>304</v>
      </c>
      <c r="B76" s="72" t="s">
        <v>58</v>
      </c>
      <c r="C76" s="74"/>
      <c r="D76" s="74"/>
    </row>
    <row r="77" ht="18.0" customHeight="1">
      <c r="A77" s="33" t="s">
        <v>305</v>
      </c>
      <c r="B77" s="55" t="s">
        <v>58</v>
      </c>
      <c r="C77" s="74"/>
      <c r="D77" s="74"/>
    </row>
    <row r="78" ht="18.0" customHeight="1">
      <c r="A78" s="36" t="s">
        <v>306</v>
      </c>
      <c r="B78" s="72" t="s">
        <v>58</v>
      </c>
      <c r="C78" s="74"/>
      <c r="D78" s="74"/>
    </row>
    <row r="79" ht="18.0" customHeight="1">
      <c r="A79" s="33" t="s">
        <v>307</v>
      </c>
      <c r="B79" s="55" t="s">
        <v>58</v>
      </c>
      <c r="C79" s="74"/>
      <c r="D79" s="74"/>
    </row>
    <row r="80" ht="18.0" customHeight="1">
      <c r="A80" s="36" t="s">
        <v>308</v>
      </c>
      <c r="B80" s="72" t="s">
        <v>58</v>
      </c>
      <c r="C80" s="74"/>
      <c r="D80" s="74"/>
    </row>
    <row r="81" ht="18.0" customHeight="1">
      <c r="A81" s="33" t="s">
        <v>309</v>
      </c>
      <c r="B81" s="55" t="s">
        <v>58</v>
      </c>
      <c r="C81" s="74"/>
      <c r="D81" s="74"/>
    </row>
    <row r="82" ht="18.0" customHeight="1">
      <c r="A82" s="36" t="s">
        <v>310</v>
      </c>
      <c r="B82" s="72" t="s">
        <v>58</v>
      </c>
      <c r="C82" s="74"/>
      <c r="D82" s="74"/>
    </row>
    <row r="83" ht="18.0" customHeight="1">
      <c r="A83" s="33" t="s">
        <v>311</v>
      </c>
      <c r="B83" s="55" t="s">
        <v>58</v>
      </c>
      <c r="C83" s="74"/>
      <c r="D83" s="74"/>
    </row>
    <row r="84" ht="18.0" customHeight="1">
      <c r="A84" s="36" t="s">
        <v>312</v>
      </c>
      <c r="B84" s="72" t="s">
        <v>58</v>
      </c>
      <c r="C84" s="74"/>
      <c r="D84" s="74"/>
    </row>
    <row r="85" ht="18.0" customHeight="1">
      <c r="A85" s="33" t="s">
        <v>313</v>
      </c>
      <c r="B85" s="55" t="s">
        <v>58</v>
      </c>
      <c r="C85" s="74"/>
      <c r="D85" s="74"/>
    </row>
    <row r="86" ht="18.0" customHeight="1">
      <c r="A86" s="36" t="s">
        <v>314</v>
      </c>
      <c r="B86" s="72" t="s">
        <v>58</v>
      </c>
      <c r="C86" s="74"/>
      <c r="D86" s="74"/>
    </row>
    <row r="87" ht="18.0" customHeight="1">
      <c r="A87" s="33" t="s">
        <v>315</v>
      </c>
      <c r="B87" s="55" t="s">
        <v>58</v>
      </c>
      <c r="C87" s="74"/>
      <c r="D87" s="74"/>
    </row>
    <row r="88" ht="18.0" customHeight="1">
      <c r="A88" s="36" t="s">
        <v>316</v>
      </c>
      <c r="B88" s="72" t="s">
        <v>58</v>
      </c>
      <c r="C88" s="74"/>
      <c r="D88" s="74"/>
    </row>
    <row r="89" ht="18.0" customHeight="1">
      <c r="A89" s="33" t="s">
        <v>162</v>
      </c>
      <c r="B89" s="55" t="s">
        <v>58</v>
      </c>
      <c r="C89" s="74"/>
      <c r="D89" s="74"/>
    </row>
    <row r="90" ht="18.0" customHeight="1">
      <c r="A90" s="36" t="s">
        <v>317</v>
      </c>
      <c r="B90" s="72" t="s">
        <v>58</v>
      </c>
      <c r="C90" s="74"/>
      <c r="D90" s="74"/>
    </row>
    <row r="91" ht="18.0" customHeight="1">
      <c r="A91" s="33" t="s">
        <v>318</v>
      </c>
      <c r="B91" s="55" t="s">
        <v>58</v>
      </c>
      <c r="C91" s="74"/>
      <c r="D91" s="74"/>
    </row>
    <row r="92" ht="18.0" customHeight="1">
      <c r="A92" s="36" t="s">
        <v>319</v>
      </c>
      <c r="B92" s="72" t="s">
        <v>58</v>
      </c>
      <c r="C92" s="74"/>
      <c r="D92" s="74"/>
    </row>
    <row r="93" ht="18.0" customHeight="1">
      <c r="A93" s="33" t="s">
        <v>320</v>
      </c>
      <c r="B93" s="55" t="s">
        <v>58</v>
      </c>
      <c r="C93" s="74"/>
      <c r="D93" s="74"/>
    </row>
    <row r="94" ht="18.0" customHeight="1">
      <c r="A94" s="36" t="s">
        <v>321</v>
      </c>
      <c r="B94" s="72" t="s">
        <v>58</v>
      </c>
      <c r="C94" s="74"/>
      <c r="D94" s="74"/>
    </row>
    <row r="95" ht="18.0" customHeight="1">
      <c r="A95" s="33" t="s">
        <v>168</v>
      </c>
      <c r="B95" s="55" t="s">
        <v>58</v>
      </c>
      <c r="C95" s="74"/>
      <c r="D95" s="74"/>
    </row>
    <row r="96" ht="18.0" customHeight="1">
      <c r="A96" s="36" t="s">
        <v>322</v>
      </c>
      <c r="B96" s="72" t="s">
        <v>58</v>
      </c>
      <c r="C96" s="74"/>
      <c r="D96" s="74"/>
    </row>
    <row r="97" ht="18.0" customHeight="1">
      <c r="A97" s="33" t="s">
        <v>323</v>
      </c>
      <c r="B97" s="55" t="s">
        <v>58</v>
      </c>
      <c r="C97" s="74"/>
      <c r="D97" s="74"/>
    </row>
    <row r="98" ht="18.0" customHeight="1">
      <c r="A98" s="36" t="s">
        <v>324</v>
      </c>
      <c r="B98" s="72" t="s">
        <v>58</v>
      </c>
      <c r="C98" s="74"/>
      <c r="D98" s="74"/>
    </row>
    <row r="99" ht="18.0" customHeight="1">
      <c r="A99" s="33" t="s">
        <v>325</v>
      </c>
      <c r="B99" s="55" t="s">
        <v>58</v>
      </c>
      <c r="C99" s="74"/>
      <c r="D99" s="74"/>
    </row>
    <row r="100" ht="18.0" customHeight="1">
      <c r="A100" s="75" t="s">
        <v>326</v>
      </c>
      <c r="B100" s="76" t="s">
        <v>58</v>
      </c>
      <c r="C100" s="74"/>
      <c r="D100" s="74"/>
    </row>
    <row r="101" ht="18.0" customHeight="1">
      <c r="A101" s="77" t="s">
        <v>327</v>
      </c>
      <c r="B101" s="78" t="s">
        <v>58</v>
      </c>
      <c r="C101" s="74"/>
      <c r="D101" s="74"/>
    </row>
    <row r="102" ht="18.0" customHeight="1">
      <c r="A102" s="75" t="s">
        <v>328</v>
      </c>
      <c r="B102" s="76" t="s">
        <v>58</v>
      </c>
      <c r="C102" s="74"/>
      <c r="D102" s="74"/>
    </row>
    <row r="103" ht="18.0" customHeight="1">
      <c r="A103" s="77" t="s">
        <v>329</v>
      </c>
      <c r="B103" s="78" t="s">
        <v>58</v>
      </c>
      <c r="C103" s="74"/>
      <c r="D103" s="74"/>
    </row>
    <row r="104" ht="18.0" customHeight="1">
      <c r="A104" s="75" t="s">
        <v>330</v>
      </c>
      <c r="B104" s="76" t="s">
        <v>58</v>
      </c>
      <c r="C104" s="74"/>
      <c r="D104" s="74"/>
    </row>
    <row r="105" ht="18.0" customHeight="1">
      <c r="A105" s="77" t="s">
        <v>331</v>
      </c>
      <c r="B105" s="78" t="s">
        <v>58</v>
      </c>
      <c r="C105" s="74"/>
      <c r="D105" s="74"/>
    </row>
    <row r="106" ht="18.0" customHeight="1">
      <c r="A106" s="75" t="s">
        <v>332</v>
      </c>
      <c r="B106" s="76" t="s">
        <v>58</v>
      </c>
      <c r="C106" s="74"/>
      <c r="D106" s="74"/>
    </row>
    <row r="107" ht="18.0" customHeight="1">
      <c r="A107" s="77" t="s">
        <v>333</v>
      </c>
      <c r="B107" s="78" t="s">
        <v>58</v>
      </c>
      <c r="C107" s="74"/>
      <c r="D107" s="74"/>
    </row>
    <row r="108" ht="18.0" customHeight="1">
      <c r="A108" s="75" t="s">
        <v>334</v>
      </c>
      <c r="B108" s="76" t="s">
        <v>58</v>
      </c>
      <c r="C108" s="74"/>
      <c r="D108" s="74"/>
    </row>
    <row r="109" ht="18.0" customHeight="1">
      <c r="A109" s="77" t="s">
        <v>335</v>
      </c>
      <c r="B109" s="78" t="s">
        <v>58</v>
      </c>
      <c r="C109" s="74"/>
      <c r="D109" s="74"/>
    </row>
    <row r="110" ht="18.0" customHeight="1">
      <c r="A110" s="75" t="s">
        <v>336</v>
      </c>
      <c r="B110" s="76" t="s">
        <v>58</v>
      </c>
      <c r="C110" s="74"/>
      <c r="D110" s="74"/>
    </row>
    <row r="111" ht="18.0" customHeight="1">
      <c r="A111" s="77" t="s">
        <v>337</v>
      </c>
      <c r="B111" s="78" t="s">
        <v>58</v>
      </c>
      <c r="C111" s="74"/>
      <c r="D111" s="74"/>
    </row>
    <row r="112" ht="18.0" customHeight="1">
      <c r="A112" s="36" t="s">
        <v>338</v>
      </c>
      <c r="B112" s="72" t="s">
        <v>58</v>
      </c>
      <c r="C112" s="74"/>
      <c r="D112" s="74"/>
    </row>
    <row r="113" ht="18.0" customHeight="1">
      <c r="A113" s="33" t="s">
        <v>339</v>
      </c>
      <c r="B113" s="55" t="s">
        <v>58</v>
      </c>
      <c r="C113" s="74"/>
      <c r="D113" s="74"/>
    </row>
    <row r="114" ht="18.0" customHeight="1">
      <c r="A114" s="36" t="s">
        <v>340</v>
      </c>
      <c r="B114" s="72" t="s">
        <v>58</v>
      </c>
      <c r="C114" s="74"/>
      <c r="D114" s="74"/>
    </row>
    <row r="115" ht="18.0" customHeight="1">
      <c r="A115" s="33" t="s">
        <v>341</v>
      </c>
      <c r="B115" s="55" t="s">
        <v>58</v>
      </c>
      <c r="C115" s="74"/>
      <c r="D115" s="74"/>
    </row>
    <row r="116" ht="18.0" customHeight="1">
      <c r="A116" s="36" t="s">
        <v>342</v>
      </c>
      <c r="B116" s="72" t="s">
        <v>58</v>
      </c>
      <c r="C116" s="74"/>
      <c r="D116" s="74"/>
    </row>
    <row r="117" ht="18.0" customHeight="1">
      <c r="A117" s="33" t="s">
        <v>343</v>
      </c>
      <c r="B117" s="55" t="s">
        <v>58</v>
      </c>
      <c r="C117" s="74"/>
      <c r="D117" s="74"/>
    </row>
    <row r="118" ht="18.0" customHeight="1">
      <c r="A118" s="36" t="s">
        <v>344</v>
      </c>
      <c r="B118" s="72" t="s">
        <v>58</v>
      </c>
      <c r="C118" s="74"/>
      <c r="D118" s="74"/>
    </row>
    <row r="119" ht="18.0" customHeight="1">
      <c r="A119" s="33" t="s">
        <v>345</v>
      </c>
      <c r="B119" s="55" t="s">
        <v>58</v>
      </c>
      <c r="C119" s="74"/>
      <c r="D119" s="74"/>
    </row>
    <row r="120" ht="18.0" customHeight="1">
      <c r="A120" s="36" t="s">
        <v>346</v>
      </c>
      <c r="B120" s="72" t="s">
        <v>58</v>
      </c>
      <c r="C120" s="74"/>
      <c r="D120" s="74"/>
    </row>
    <row r="121" ht="18.0" customHeight="1">
      <c r="A121" s="33" t="s">
        <v>347</v>
      </c>
      <c r="B121" s="55" t="s">
        <v>58</v>
      </c>
      <c r="C121" s="74"/>
      <c r="D121" s="74"/>
    </row>
    <row r="122" ht="18.0" customHeight="1">
      <c r="A122" s="33" t="s">
        <v>348</v>
      </c>
      <c r="B122" s="72" t="s">
        <v>58</v>
      </c>
      <c r="C122" s="74"/>
      <c r="D122" s="74"/>
    </row>
    <row r="123" ht="18.0" customHeight="1">
      <c r="A123" s="36" t="s">
        <v>349</v>
      </c>
      <c r="B123" s="55" t="s">
        <v>58</v>
      </c>
      <c r="C123" s="74"/>
      <c r="D123" s="74"/>
    </row>
    <row r="124" ht="18.0" customHeight="1">
      <c r="A124" s="33" t="s">
        <v>350</v>
      </c>
      <c r="B124" s="72" t="s">
        <v>58</v>
      </c>
      <c r="C124" s="74"/>
      <c r="D124" s="74"/>
    </row>
    <row r="125" ht="18.0" customHeight="1">
      <c r="A125" s="33" t="s">
        <v>351</v>
      </c>
      <c r="B125" s="55" t="s">
        <v>58</v>
      </c>
      <c r="C125" s="74"/>
      <c r="D125" s="74"/>
    </row>
    <row r="126" ht="18.0" customHeight="1">
      <c r="A126" s="36" t="s">
        <v>352</v>
      </c>
      <c r="B126" s="72" t="s">
        <v>58</v>
      </c>
      <c r="C126" s="74"/>
      <c r="D126" s="74"/>
    </row>
    <row r="127" ht="18.0" customHeight="1">
      <c r="A127" s="33" t="s">
        <v>353</v>
      </c>
      <c r="B127" s="55" t="s">
        <v>58</v>
      </c>
      <c r="C127" s="74"/>
      <c r="D127" s="74"/>
    </row>
    <row r="128" ht="18.0" customHeight="1">
      <c r="A128" s="36" t="s">
        <v>354</v>
      </c>
      <c r="B128" s="72" t="s">
        <v>58</v>
      </c>
      <c r="C128" s="74"/>
      <c r="D128" s="74"/>
    </row>
    <row r="129" ht="18.0" customHeight="1">
      <c r="A129" s="33" t="s">
        <v>355</v>
      </c>
      <c r="B129" s="55" t="s">
        <v>58</v>
      </c>
      <c r="C129" s="74"/>
      <c r="D129" s="74"/>
    </row>
    <row r="130" ht="18.0" customHeight="1">
      <c r="A130" s="36" t="s">
        <v>356</v>
      </c>
      <c r="B130" s="72" t="s">
        <v>58</v>
      </c>
      <c r="C130" s="74"/>
      <c r="D130" s="74"/>
    </row>
    <row r="131" ht="18.0" customHeight="1">
      <c r="A131" s="33" t="s">
        <v>357</v>
      </c>
      <c r="B131" s="55" t="s">
        <v>58</v>
      </c>
      <c r="C131" s="74"/>
      <c r="D131" s="74"/>
    </row>
    <row r="132" ht="18.0" customHeight="1">
      <c r="A132" s="36" t="s">
        <v>358</v>
      </c>
      <c r="B132" s="72" t="s">
        <v>58</v>
      </c>
      <c r="C132" s="74"/>
      <c r="D132" s="74"/>
    </row>
    <row r="133" ht="18.0" customHeight="1">
      <c r="A133" s="33" t="s">
        <v>359</v>
      </c>
      <c r="B133" s="55" t="s">
        <v>58</v>
      </c>
      <c r="C133" s="74"/>
      <c r="D133" s="74"/>
    </row>
    <row r="134" ht="18.0" customHeight="1">
      <c r="A134" s="36" t="s">
        <v>360</v>
      </c>
      <c r="B134" s="72" t="s">
        <v>58</v>
      </c>
      <c r="C134" s="74"/>
      <c r="D134" s="74"/>
    </row>
    <row r="135" ht="18.0" customHeight="1">
      <c r="A135" s="33" t="s">
        <v>361</v>
      </c>
      <c r="B135" s="55" t="s">
        <v>58</v>
      </c>
      <c r="C135" s="74"/>
      <c r="D135" s="74"/>
    </row>
    <row r="136" ht="18.0" customHeight="1">
      <c r="A136" s="36" t="s">
        <v>362</v>
      </c>
      <c r="B136" s="72" t="s">
        <v>58</v>
      </c>
      <c r="C136" s="74"/>
      <c r="D136" s="74"/>
    </row>
    <row r="137" ht="18.0" customHeight="1">
      <c r="A137" s="24"/>
      <c r="B137" s="55"/>
      <c r="C137" s="74"/>
      <c r="D137" s="74"/>
    </row>
    <row r="138" ht="18.0" customHeight="1">
      <c r="A138" s="14"/>
      <c r="B138" s="35"/>
      <c r="C138" s="74"/>
      <c r="D138" s="74"/>
    </row>
    <row r="139" ht="18.0" customHeight="1">
      <c r="A139" s="24"/>
      <c r="B139" s="38"/>
      <c r="C139" s="74"/>
      <c r="D139" s="74"/>
    </row>
    <row r="140" ht="18.0" customHeight="1">
      <c r="A140" s="14"/>
      <c r="B140" s="35"/>
      <c r="C140" s="74"/>
      <c r="D140" s="74"/>
    </row>
    <row r="141" ht="18.0" customHeight="1">
      <c r="A141" s="24"/>
      <c r="B141" s="38"/>
      <c r="C141" s="74"/>
      <c r="D141" s="74"/>
    </row>
    <row r="142" ht="18.0" customHeight="1">
      <c r="A142" s="14"/>
      <c r="B142" s="35"/>
      <c r="C142" s="74"/>
      <c r="D142" s="74"/>
    </row>
    <row r="143" ht="18.0" customHeight="1">
      <c r="A143" s="24"/>
      <c r="B143" s="38"/>
      <c r="C143" s="74"/>
      <c r="D143" s="74"/>
    </row>
    <row r="144" ht="18.0" customHeight="1">
      <c r="A144" s="14"/>
      <c r="B144" s="35"/>
      <c r="C144" s="74"/>
      <c r="D144" s="74"/>
    </row>
    <row r="145" ht="18.0" customHeight="1">
      <c r="A145" s="24"/>
      <c r="B145" s="38"/>
      <c r="C145" s="74"/>
      <c r="D145" s="74"/>
    </row>
    <row r="146" ht="18.0" customHeight="1">
      <c r="A146" s="14"/>
      <c r="B146" s="35"/>
      <c r="C146" s="74"/>
      <c r="D146" s="74"/>
    </row>
    <row r="147" ht="18.0" customHeight="1">
      <c r="A147" s="24"/>
      <c r="B147" s="38"/>
      <c r="C147" s="74"/>
      <c r="D147" s="74"/>
    </row>
    <row r="148" ht="18.0" customHeight="1">
      <c r="A148" s="14"/>
      <c r="B148" s="35"/>
      <c r="C148" s="74"/>
      <c r="D148" s="74"/>
    </row>
    <row r="149" ht="18.0" customHeight="1">
      <c r="A149" s="24"/>
      <c r="B149" s="38"/>
      <c r="C149" s="74"/>
      <c r="D149" s="74"/>
    </row>
    <row r="150" ht="18.0" customHeight="1">
      <c r="A150" s="14"/>
      <c r="B150" s="35"/>
      <c r="C150" s="74"/>
      <c r="D150" s="74"/>
    </row>
    <row r="151" ht="18.0" customHeight="1">
      <c r="A151" s="24"/>
      <c r="B151" s="38"/>
      <c r="C151" s="74"/>
      <c r="D151" s="74"/>
    </row>
    <row r="152" ht="18.0" customHeight="1">
      <c r="A152" s="14"/>
      <c r="B152" s="35"/>
      <c r="C152" s="74"/>
      <c r="D152" s="74"/>
    </row>
    <row r="153" ht="18.0" customHeight="1">
      <c r="A153" s="24"/>
      <c r="B153" s="38"/>
      <c r="C153" s="74"/>
      <c r="D153" s="74"/>
    </row>
    <row r="154" ht="18.0" customHeight="1">
      <c r="A154" s="14"/>
      <c r="B154" s="35"/>
      <c r="C154" s="74"/>
      <c r="D154" s="74"/>
    </row>
    <row r="155" ht="18.0" customHeight="1">
      <c r="A155" s="24"/>
      <c r="B155" s="38"/>
      <c r="C155" s="74"/>
      <c r="D155" s="74"/>
    </row>
    <row r="156" ht="18.0" customHeight="1">
      <c r="A156" s="14"/>
      <c r="B156" s="35"/>
      <c r="C156" s="74"/>
      <c r="D156" s="74"/>
    </row>
    <row r="157" ht="18.0" customHeight="1">
      <c r="A157" s="24"/>
      <c r="B157" s="38"/>
      <c r="C157" s="74"/>
      <c r="D157" s="74"/>
    </row>
    <row r="158" ht="18.0" customHeight="1">
      <c r="A158" s="14"/>
      <c r="B158" s="35"/>
      <c r="C158" s="74"/>
      <c r="D158" s="74"/>
    </row>
    <row r="159" ht="18.0" customHeight="1">
      <c r="A159" s="24"/>
      <c r="B159" s="38"/>
      <c r="C159" s="74"/>
      <c r="D159" s="74"/>
    </row>
    <row r="160" ht="18.0" customHeight="1">
      <c r="A160" s="14"/>
      <c r="B160" s="35"/>
      <c r="C160" s="74"/>
      <c r="D160" s="74"/>
    </row>
    <row r="161" ht="18.0" customHeight="1">
      <c r="A161" s="24"/>
      <c r="B161" s="38"/>
      <c r="C161" s="74"/>
      <c r="D161" s="74"/>
    </row>
    <row r="162" ht="18.0" customHeight="1">
      <c r="A162" s="14"/>
      <c r="B162" s="35"/>
      <c r="C162" s="74"/>
      <c r="D162" s="74"/>
    </row>
    <row r="163" ht="18.0" customHeight="1">
      <c r="A163" s="24"/>
      <c r="B163" s="38"/>
      <c r="C163" s="74"/>
      <c r="D163" s="74"/>
    </row>
    <row r="164" ht="18.0" customHeight="1">
      <c r="A164" s="14"/>
      <c r="B164" s="35"/>
      <c r="C164" s="74"/>
      <c r="D164" s="74"/>
    </row>
    <row r="165" ht="18.0" customHeight="1">
      <c r="A165" s="24"/>
      <c r="B165" s="38"/>
      <c r="C165" s="74"/>
      <c r="D165" s="74"/>
    </row>
    <row r="166" ht="18.0" customHeight="1">
      <c r="A166" s="14"/>
      <c r="B166" s="35"/>
      <c r="C166" s="74"/>
      <c r="D166" s="74"/>
    </row>
    <row r="167" ht="18.0" customHeight="1">
      <c r="A167" s="24"/>
      <c r="B167" s="38"/>
      <c r="C167" s="74"/>
      <c r="D167" s="74"/>
    </row>
    <row r="168" ht="18.0" customHeight="1">
      <c r="A168" s="14"/>
      <c r="B168" s="35"/>
      <c r="C168" s="74"/>
      <c r="D168" s="74"/>
    </row>
    <row r="169" ht="18.0" customHeight="1">
      <c r="A169" s="24"/>
      <c r="B169" s="38"/>
      <c r="C169" s="74"/>
      <c r="D169" s="74"/>
    </row>
    <row r="170" ht="18.0" customHeight="1">
      <c r="A170" s="14"/>
      <c r="B170" s="35"/>
      <c r="C170" s="74"/>
      <c r="D170" s="74"/>
    </row>
    <row r="171" ht="18.0" customHeight="1">
      <c r="A171" s="24"/>
      <c r="B171" s="38"/>
      <c r="C171" s="74"/>
      <c r="D171" s="74"/>
    </row>
    <row r="172" ht="18.0" customHeight="1">
      <c r="A172" s="14"/>
      <c r="B172" s="35"/>
      <c r="C172" s="74"/>
      <c r="D172" s="74"/>
    </row>
    <row r="173" ht="18.0" customHeight="1">
      <c r="A173" s="24"/>
      <c r="B173" s="38"/>
      <c r="C173" s="74"/>
      <c r="D173" s="74"/>
    </row>
    <row r="174" ht="18.0" customHeight="1">
      <c r="A174" s="14"/>
      <c r="B174" s="35"/>
      <c r="C174" s="74"/>
      <c r="D174" s="74"/>
    </row>
    <row r="175" ht="18.0" customHeight="1">
      <c r="A175" s="24"/>
      <c r="B175" s="38"/>
      <c r="C175" s="74"/>
      <c r="D175" s="74"/>
    </row>
    <row r="176" ht="18.0" customHeight="1">
      <c r="A176" s="14"/>
      <c r="B176" s="35"/>
      <c r="C176" s="74"/>
      <c r="D176" s="74"/>
    </row>
    <row r="177" ht="18.0" customHeight="1">
      <c r="A177" s="24"/>
      <c r="B177" s="38"/>
      <c r="C177" s="74"/>
      <c r="D177" s="74"/>
    </row>
    <row r="178" ht="18.0" customHeight="1">
      <c r="A178" s="14"/>
      <c r="B178" s="35"/>
      <c r="C178" s="74"/>
      <c r="D178" s="74"/>
    </row>
    <row r="179" ht="18.0" customHeight="1">
      <c r="A179" s="24"/>
      <c r="B179" s="38"/>
      <c r="C179" s="74"/>
      <c r="D179" s="74"/>
    </row>
    <row r="180" ht="18.0" customHeight="1">
      <c r="A180" s="14"/>
      <c r="B180" s="35"/>
      <c r="C180" s="74"/>
      <c r="D180" s="74"/>
    </row>
    <row r="181" ht="18.0" customHeight="1">
      <c r="A181" s="24"/>
      <c r="B181" s="38"/>
      <c r="C181" s="74"/>
      <c r="D181" s="74"/>
    </row>
    <row r="182" ht="18.0" customHeight="1">
      <c r="A182" s="14"/>
      <c r="B182" s="35"/>
      <c r="C182" s="74"/>
      <c r="D182" s="74"/>
    </row>
    <row r="183" ht="18.0" customHeight="1">
      <c r="A183" s="24"/>
      <c r="B183" s="38"/>
      <c r="C183" s="74"/>
      <c r="D183" s="74"/>
    </row>
    <row r="184" ht="18.0" customHeight="1">
      <c r="A184" s="14"/>
      <c r="B184" s="35"/>
      <c r="C184" s="74"/>
      <c r="D184" s="74"/>
    </row>
    <row r="185" ht="18.0" customHeight="1">
      <c r="A185" s="24"/>
      <c r="B185" s="38"/>
      <c r="C185" s="74"/>
      <c r="D185" s="74"/>
    </row>
    <row r="186" ht="18.0" customHeight="1">
      <c r="A186" s="14"/>
      <c r="B186" s="35"/>
      <c r="C186" s="74"/>
      <c r="D186" s="74"/>
    </row>
    <row r="187" ht="18.0" customHeight="1">
      <c r="A187" s="24"/>
      <c r="B187" s="38"/>
      <c r="C187" s="74"/>
      <c r="D187" s="74"/>
    </row>
    <row r="188" ht="18.0" customHeight="1">
      <c r="A188" s="14"/>
      <c r="B188" s="35"/>
      <c r="C188" s="74"/>
      <c r="D188" s="74"/>
    </row>
    <row r="189" ht="18.0" customHeight="1">
      <c r="A189" s="24"/>
      <c r="B189" s="38"/>
      <c r="C189" s="74"/>
      <c r="D189" s="74"/>
    </row>
    <row r="190" ht="18.0" customHeight="1">
      <c r="A190" s="14"/>
      <c r="B190" s="35"/>
      <c r="C190" s="74"/>
      <c r="D190" s="74"/>
    </row>
    <row r="191" ht="18.0" customHeight="1">
      <c r="A191" s="24"/>
      <c r="B191" s="38"/>
      <c r="C191" s="74"/>
      <c r="D191" s="74"/>
    </row>
    <row r="192" ht="18.0" customHeight="1">
      <c r="A192" s="14"/>
      <c r="B192" s="35"/>
      <c r="C192" s="74"/>
      <c r="D192" s="74"/>
    </row>
    <row r="193" ht="18.0" customHeight="1">
      <c r="A193" s="24"/>
      <c r="B193" s="38"/>
      <c r="C193" s="74"/>
      <c r="D193" s="74"/>
    </row>
    <row r="194" ht="18.0" customHeight="1">
      <c r="A194" s="14"/>
      <c r="B194" s="35"/>
      <c r="C194" s="74"/>
      <c r="D194" s="74"/>
    </row>
    <row r="195" ht="18.0" customHeight="1">
      <c r="A195" s="24"/>
      <c r="B195" s="38"/>
      <c r="C195" s="74"/>
      <c r="D195" s="74"/>
    </row>
    <row r="196" ht="18.0" customHeight="1">
      <c r="A196" s="14"/>
      <c r="B196" s="35"/>
      <c r="C196" s="74"/>
      <c r="D196" s="74"/>
    </row>
    <row r="197" ht="18.0" customHeight="1">
      <c r="A197" s="24"/>
      <c r="B197" s="38"/>
      <c r="C197" s="74"/>
      <c r="D197" s="74"/>
    </row>
    <row r="198" ht="18.0" customHeight="1">
      <c r="A198" s="14"/>
      <c r="B198" s="35"/>
      <c r="C198" s="74"/>
      <c r="D198" s="74"/>
    </row>
    <row r="199" ht="18.0" customHeight="1">
      <c r="A199" s="24"/>
      <c r="B199" s="38"/>
      <c r="C199" s="74"/>
      <c r="D199" s="74"/>
    </row>
    <row r="200" ht="18.0" customHeight="1">
      <c r="A200" s="14"/>
      <c r="B200" s="35"/>
      <c r="C200" s="74"/>
      <c r="D200" s="74"/>
    </row>
    <row r="201" ht="18.0" customHeight="1">
      <c r="A201" s="24"/>
      <c r="B201" s="38"/>
      <c r="C201" s="74"/>
      <c r="D201" s="74"/>
    </row>
    <row r="202" ht="18.0" customHeight="1">
      <c r="A202" s="14"/>
      <c r="B202" s="35"/>
      <c r="C202" s="74"/>
      <c r="D202" s="74"/>
    </row>
    <row r="203" ht="18.0" customHeight="1">
      <c r="A203" s="24"/>
      <c r="B203" s="38"/>
      <c r="C203" s="74"/>
      <c r="D203" s="74"/>
    </row>
    <row r="204" ht="18.0" customHeight="1">
      <c r="A204" s="14"/>
      <c r="B204" s="35"/>
      <c r="C204" s="74"/>
      <c r="D204" s="74"/>
    </row>
    <row r="205" ht="18.0" customHeight="1">
      <c r="A205" s="24"/>
      <c r="B205" s="38"/>
      <c r="C205" s="74"/>
      <c r="D205" s="74"/>
    </row>
    <row r="206" ht="18.0" customHeight="1">
      <c r="A206" s="14"/>
      <c r="B206" s="35"/>
      <c r="C206" s="74"/>
      <c r="D206" s="74"/>
    </row>
    <row r="207" ht="18.0" customHeight="1">
      <c r="A207" s="24"/>
      <c r="B207" s="38"/>
      <c r="C207" s="74"/>
      <c r="D207" s="74"/>
    </row>
    <row r="208" ht="18.0" customHeight="1">
      <c r="A208" s="14"/>
      <c r="B208" s="35"/>
      <c r="C208" s="74"/>
      <c r="D208" s="74"/>
    </row>
    <row r="209" ht="18.0" customHeight="1">
      <c r="A209" s="24"/>
      <c r="B209" s="38"/>
      <c r="C209" s="74"/>
      <c r="D209" s="74"/>
    </row>
    <row r="210" ht="18.0" customHeight="1">
      <c r="A210" s="14"/>
      <c r="B210" s="35"/>
      <c r="C210" s="74"/>
      <c r="D210" s="74"/>
    </row>
    <row r="211" ht="18.0" customHeight="1">
      <c r="A211" s="24"/>
      <c r="B211" s="38"/>
      <c r="C211" s="74"/>
      <c r="D211" s="74"/>
    </row>
    <row r="212" ht="18.0" customHeight="1">
      <c r="A212" s="14"/>
      <c r="B212" s="35"/>
      <c r="C212" s="74"/>
      <c r="D212" s="74"/>
    </row>
    <row r="213" ht="18.0" customHeight="1">
      <c r="A213" s="24"/>
      <c r="B213" s="38"/>
      <c r="C213" s="74"/>
      <c r="D213" s="74"/>
    </row>
    <row r="214" ht="18.0" customHeight="1">
      <c r="A214" s="14"/>
      <c r="B214" s="35"/>
      <c r="C214" s="74"/>
      <c r="D214" s="74"/>
    </row>
    <row r="215" ht="18.0" customHeight="1">
      <c r="A215" s="24"/>
      <c r="B215" s="38"/>
      <c r="C215" s="74"/>
      <c r="D215" s="74"/>
    </row>
    <row r="216" ht="18.0" customHeight="1">
      <c r="A216" s="14"/>
      <c r="B216" s="35"/>
      <c r="C216" s="74"/>
      <c r="D216" s="74"/>
    </row>
    <row r="217" ht="18.0" customHeight="1">
      <c r="A217" s="24"/>
      <c r="B217" s="38"/>
      <c r="C217" s="74"/>
      <c r="D217" s="74"/>
    </row>
    <row r="218" ht="18.0" customHeight="1">
      <c r="A218" s="14"/>
      <c r="B218" s="35"/>
      <c r="C218" s="74"/>
      <c r="D218" s="74"/>
    </row>
    <row r="219" ht="18.0" customHeight="1">
      <c r="A219" s="24"/>
      <c r="B219" s="38"/>
      <c r="C219" s="74"/>
      <c r="D219" s="74"/>
    </row>
    <row r="220" ht="18.0" customHeight="1">
      <c r="A220" s="14"/>
      <c r="B220" s="35"/>
      <c r="C220" s="74"/>
      <c r="D220" s="7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